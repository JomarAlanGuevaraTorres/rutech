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4fafb3415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eeb4827bfebb4d01"/>
    <x:sheet xmlns:r="http://schemas.openxmlformats.org/officeDocument/2006/relationships" name="Agencias" sheetId="2" r:id="R136aaf730b394345"/>
    <x:sheet xmlns:r="http://schemas.openxmlformats.org/officeDocument/2006/relationships" name="Metadatos" sheetId="3" r:id="Re967d391b47a4aa0"/>
    <x:sheet xmlns:r="http://schemas.openxmlformats.org/officeDocument/2006/relationships" name="Resumen" sheetId="4" r:id="R6e43a3db84f8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00"/>
    <x:numFmt numFmtId="201" formatCode="0.00"/>
    <x:numFmt numFmtId="202" formatCode="0.0"/>
    <x:numFmt numFmtId="203" formatCode="0.0%"/>
    <x:numFmt numFmtId="204" formatCode="dd/mm/yyyy"/>
    <x:numFmt numFmtId="205" formatCode="hh:mm"/>
    <x:numFmt numFmtId="206" formatCode="&quot;S/ &quot;#,##0"/>
    <x:numFmt numFmtId="207" formatCode="0%"/>
    <x:numFmt numFmtId="208" formatCode="0"/>
  </x:numFmts>
  <x:fonts count="10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b/>
      <x:sz val="14"/>
      <x:color rgb="FF000000"/>
      <x:name val="Arial"/>
    </x:font>
    <x:font>
      <x:i/>
      <x:sz val="10"/>
      <x:color rgb="FF374151"/>
      <x:name val="Arial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15"/>
      <x:color rgb="FF17365D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/>
    <x:border/>
    <x:border>
      <x:bottom style="thin">
        <x:color rgb="FF7F8C8D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203" fontId="1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3" fontId="3" fillId="0" borderId="2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7" fontId="6" fillId="0" borderId="0" xfId="0" applyNumberFormat="1" applyFont="1" applyFill="1" applyBorder="1" applyAlignment="1">
      <x:alignment vertical="center"/>
    </x:xf>
    <x:xf numFmtId="208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3818d99304ec0" /><Relationship Type="http://schemas.openxmlformats.org/officeDocument/2006/relationships/theme" Target="/xl/theme/theme1.xml" Id="R3fd3945b650f4099" /><Relationship Type="http://schemas.openxmlformats.org/officeDocument/2006/relationships/sharedStrings" Target="/xl/sharedStrings.xml" Id="R74f34c1530fc4abb" /><Relationship Type="http://schemas.openxmlformats.org/officeDocument/2006/relationships/worksheet" Target="/xl/worksheets/sheet1.xml" Id="Reeb4827bfebb4d01" /><Relationship Type="http://schemas.openxmlformats.org/officeDocument/2006/relationships/worksheet" Target="/xl/worksheets/sheet2.xml" Id="R136aaf730b394345" /><Relationship Type="http://schemas.openxmlformats.org/officeDocument/2006/relationships/worksheet" Target="/xl/worksheets/sheet3.xml" Id="Re967d391b47a4aa0" /><Relationship Type="http://schemas.openxmlformats.org/officeDocument/2006/relationships/worksheet" Target="/xl/worksheets/sheet4.xml" Id="R6e43a3db84f841b3" /></Relationships>
</file>

<file path=xl/tables/table1.xml><?xml version="1.0" encoding="utf-8"?>
<x:table xmlns:x="http://schemas.openxmlformats.org/spreadsheetml/2006/main" id="3" name="ClientesPrioridadTable" displayName="ClientesPrioridadTable" ref="A1:AI201" headerRowCount="1" totalsRowCount="0" totalsRowShown="0">
  <x:tableColumns count="35">
    <x:tableColumn id="1" name="ID_cliente"/>
    <x:tableColumn id="2" name="Nombre_cliente"/>
    <x:tableColumn id="3" name="Tipo_gestion"/>
    <x:tableColumn id="4" name="Tipo_cliente"/>
    <x:tableColumn id="5" name="Producto_gestion"/>
    <x:tableColumn id="6" name="Etapa_gestion"/>
    <x:tableColumn id="7" name="Latitud"/>
    <x:tableColumn id="8" name="Longitud"/>
    <x:tableColumn id="9" name="Distrito"/>
    <x:tableColumn id="10" name="Provincia"/>
    <x:tableColumn id="11" name="Codigo_agencia"/>
    <x:tableColumn id="12" name="Agencia_base"/>
    <x:tableColumn id="13" name="Distancia_radial_km"/>
    <x:tableColumn id="14" name="Fecha_gestion"/>
    <x:tableColumn id="15" name="Hora_desde"/>
    <x:tableColumn id="16" name="Hora_hasta"/>
    <x:tableColumn id="17" name="Duracion_visita_min"/>
    <x:tableColumn id="18" name="Monto_referencial_S"/>
    <x:tableColumn id="19" name="Nivel_interes"/>
    <x:tableColumn id="20" name="Probabilidad_cierre_pct"/>
    <x:tableColumn id="21" name="Dias_mora"/>
    <x:tableColumn id="22" name="Saldo_pendiente_S"/>
    <x:tableColumn id="23" name="Compromiso_pago"/>
    <x:tableColumn id="24" name="Fecha_compromiso"/>
    <x:tableColumn id="25" name="Estado_compromiso"/>
    <x:tableColumn id="26" name="Intentos_sin_respuesta"/>
    <x:tableColumn id="27" name="Resultado_ultimo_contacto"/>
    <x:tableColumn id="28" name="Visita_confirmada"/>
    <x:tableColumn id="29" name="Cierre_o_pago_hoy"/>
    <x:tableColumn id="30" name="Puntaje_prioridad"/>
    <x:tableColumn id="31" name="Prioridad"/>
    <x:tableColumn id="32" name="Motivo_prioridad"/>
    <x:tableColumn id="33" name="Estado_visita"/>
    <x:tableColumn id="34" name="Enlace_mapa"/>
    <x:tableColumn id="35" name="Tipo_da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AgenciasTable" displayName="AgenciasTable" ref="A1:L6" headerRowCount="1" totalsRowCount="0" totalsRowShown="0">
  <x:tableColumns count="12">
    <x:tableColumn id="1" name="Codigo"/>
    <x:tableColumn id="2" name="Agencia"/>
    <x:tableColumn id="3" name="Direccion_referencial"/>
    <x:tableColumn id="4" name="Distrito"/>
    <x:tableColumn id="5" name="Provincia"/>
    <x:tableColumn id="6" name="Latitud"/>
    <x:tableColumn id="7" name="Longitud"/>
    <x:tableColumn id="8" name="Clientes_simulados"/>
    <x:tableColumn id="9" name="Clientes_comercial"/>
    <x:tableColumn id="10" name="Clientes_cobranza"/>
    <x:tableColumn id="11" name="Radio_maximo_km"/>
    <x:tableColumn id="12" name="Estado_coordena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MetadatosTable" displayName="MetadatosTable" ref="A1:B14" headerRowCount="1" totalsRowCount="0" totalsRowShown="0">
  <x:tableColumns count="2">
    <x:tableColumn id="1" name="Elemento"/>
    <x:tableColumn id="2" name="Descripc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ReglasPrioridadTable" displayName="ReglasPrioridadTable" ref="D1:G15" headerRowCount="1" totalsRowCount="0" totalsRowShown="0">
  <x:tableColumns count="4">
    <x:tableColumn id="1" name="Área"/>
    <x:tableColumn id="2" name="Condición"/>
    <x:tableColumn id="3" name="Puntos"/>
    <x:tableColumn id="4" name="Observació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173975a1554a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1c1d8b614e4f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367bc592dd4e93" /><Relationship Type="http://schemas.openxmlformats.org/officeDocument/2006/relationships/table" Target="/xl/tables/table4.xml" Id="Ra1169012b8984eb5" /></Relationships>
</file>

<file path=xl/worksheets/sheet1.xml><?xml version="1.0" encoding="utf-8"?>
<x:worksheet xmlns:x="http://schemas.openxmlformats.org/spreadsheetml/2006/main">
  <x:sheetPr>
    <x:tabColor rgb="FF2E75B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12" hidden="0" customWidth="1"/>
    <x:col min="5" max="5" width="21" hidden="0" customWidth="1"/>
    <x:col min="6" max="6" width="1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4" hidden="0" customWidth="1"/>
    <x:col min="13" max="13" width="14" hidden="0" customWidth="1"/>
    <x:col min="14" max="14" width="13" hidden="0" customWidth="1"/>
    <x:col min="15" max="15" width="11" hidden="0" customWidth="1"/>
    <x:col min="16" max="16" width="11" hidden="0" customWidth="1"/>
    <x:col min="17" max="17" width="13" hidden="0" customWidth="1"/>
    <x:col min="18" max="18" width="17" hidden="0" customWidth="1"/>
    <x:col min="19" max="19" width="13" hidden="0" customWidth="1"/>
    <x:col min="20" max="20" width="16" hidden="0" customWidth="1"/>
    <x:col min="21" max="21" width="11" hidden="0" customWidth="1"/>
    <x:col min="22" max="22" width="17" hidden="0" customWidth="1"/>
    <x:col min="23" max="23" width="14" hidden="0" customWidth="1"/>
    <x:col min="24" max="24" width="15" hidden="0" customWidth="1"/>
    <x:col min="25" max="25" width="16" hidden="0" customWidth="1"/>
    <x:col min="26" max="26" width="14" hidden="0" customWidth="1"/>
    <x:col min="27" max="27" width="20" hidden="0" customWidth="1"/>
    <x:col min="28" max="28" width="15" hidden="0" customWidth="1"/>
    <x:col min="29" max="29" width="17" hidden="0" customWidth="1"/>
    <x:col min="30" max="30" width="15" hidden="0" customWidth="1"/>
    <x:col min="31" max="31" width="10" hidden="0" customWidth="1"/>
    <x:col min="32" max="32" width="40" hidden="0" customWidth="1"/>
    <x:col min="33" max="33" width="14" hidden="0" customWidth="1"/>
    <x:col min="34" max="34" width="42" hidden="0" customWidth="1"/>
    <x:col min="35" max="35" width="12" hidden="0" customWidth="1"/>
  </x:cols>
  <x:sheetData>
    <x:row r="1" ht="34" customHeight="1">
      <x:c r="A1" s="38" t="str">
        <x:v>ID_cliente</x:v>
      </x:c>
      <x:c r="B1" s="38" t="str">
        <x:v>Nombre_cliente</x:v>
      </x:c>
      <x:c r="C1" s="38" t="str">
        <x:v>Tipo_gestion</x:v>
      </x:c>
      <x:c r="D1" s="38" t="str">
        <x:v>Tipo_cliente</x:v>
      </x:c>
      <x:c r="E1" s="38" t="str">
        <x:v>Producto_gestion</x:v>
      </x:c>
      <x:c r="F1" s="38" t="str">
        <x:v>Etapa_gestion</x:v>
      </x:c>
      <x:c r="G1" s="38" t="str">
        <x:v>Latitud</x:v>
      </x:c>
      <x:c r="H1" s="38" t="str">
        <x:v>Longitud</x:v>
      </x:c>
      <x:c r="I1" s="38" t="str">
        <x:v>Distrito</x:v>
      </x:c>
      <x:c r="J1" s="38" t="str">
        <x:v>Provincia</x:v>
      </x:c>
      <x:c r="K1" s="38" t="str">
        <x:v>Codigo_agencia</x:v>
      </x:c>
      <x:c r="L1" s="38" t="str">
        <x:v>Agencia_base</x:v>
      </x:c>
      <x:c r="M1" s="38" t="str">
        <x:v>Distancia_radial_km</x:v>
      </x:c>
      <x:c r="N1" s="38" t="str">
        <x:v>Fecha_gestion</x:v>
      </x:c>
      <x:c r="O1" s="38" t="str">
        <x:v>Hora_desde</x:v>
      </x:c>
      <x:c r="P1" s="38" t="str">
        <x:v>Hora_hasta</x:v>
      </x:c>
      <x:c r="Q1" s="38" t="str">
        <x:v>Duracion_visita_min</x:v>
      </x:c>
      <x:c r="R1" s="38" t="str">
        <x:v>Monto_referencial_S</x:v>
      </x:c>
      <x:c r="S1" s="38" t="str">
        <x:v>Nivel_interes</x:v>
      </x:c>
      <x:c r="T1" s="38" t="str">
        <x:v>Probabilidad_cierre_pct</x:v>
      </x:c>
      <x:c r="U1" s="38" t="str">
        <x:v>Dias_mora</x:v>
      </x:c>
      <x:c r="V1" s="38" t="str">
        <x:v>Saldo_pendiente_S</x:v>
      </x:c>
      <x:c r="W1" s="38" t="str">
        <x:v>Compromiso_pago</x:v>
      </x:c>
      <x:c r="X1" s="38" t="str">
        <x:v>Fecha_compromiso</x:v>
      </x:c>
      <x:c r="Y1" s="38" t="str">
        <x:v>Estado_compromiso</x:v>
      </x:c>
      <x:c r="Z1" s="38" t="str">
        <x:v>Intentos_sin_respuesta</x:v>
      </x:c>
      <x:c r="AA1" s="38" t="str">
        <x:v>Resultado_ultimo_contacto</x:v>
      </x:c>
      <x:c r="AB1" s="38" t="str">
        <x:v>Visita_confirmada</x:v>
      </x:c>
      <x:c r="AC1" s="38" t="str">
        <x:v>Cierre_o_pago_hoy</x:v>
      </x:c>
      <x:c r="AD1" s="38" t="str">
        <x:v>Puntaje_prioridad</x:v>
      </x:c>
      <x:c r="AE1" s="38" t="str">
        <x:v>Prioridad</x:v>
      </x:c>
      <x:c r="AF1" s="38" t="str">
        <x:v>Motivo_prioridad</x:v>
      </x:c>
      <x:c r="AG1" s="38" t="str">
        <x:v>Estado_visita</x:v>
      </x:c>
      <x:c r="AH1" s="38" t="str">
        <x:v>Enlace_mapa</x:v>
      </x:c>
      <x:c r="AI1" s="38" t="str">
        <x:v>Tipo_dato</x:v>
      </x:c>
    </x:row>
    <x:row r="2">
      <x:c r="A2" s="39" t="str">
        <x:v>CLI-001</x:v>
      </x:c>
      <x:c r="B2" s="39" t="str">
        <x:v>Cliente 001</x:v>
      </x:c>
      <x:c r="C2" s="39" t="str">
        <x:v>COMERCIAL</x:v>
      </x:c>
      <x:c r="D2" s="39" t="str">
        <x:v>Recurrente</x:v>
      </x:c>
      <x:c r="E2" s="39" t="str">
        <x:v>Crédito personal</x:v>
      </x:c>
      <x:c r="F2" s="39" t="str">
        <x:v>Evaluación</x:v>
      </x:c>
      <x:c r="G2" s="40" t="n">
        <x:v>-5.179804</x:v>
      </x:c>
      <x:c r="H2" s="40" t="n">
        <x:v>-80.654436</x:v>
      </x:c>
      <x:c r="I2" s="39" t="str">
        <x:v>Piura</x:v>
      </x:c>
      <x:c r="J2" s="39" t="str">
        <x:v>Piura</x:v>
      </x:c>
      <x:c r="K2" s="39" t="str">
        <x:v>AG01</x:v>
      </x:c>
      <x:c r="L2" s="39" t="str">
        <x:v>Mibanco Piura Centro</x:v>
      </x:c>
      <x:c r="M2" s="41" t="n">
        <x:v>2.91</x:v>
      </x:c>
      <x:c r="N2" s="42" t="n">
        <x:v>46291</x:v>
      </x:c>
      <x:c r="O2" s="43" t="n">
        <x:v>0.4583333333333333</x:v>
      </x:c>
      <x:c r="P2" s="43" t="n">
        <x:v>0.5416666666666666</x:v>
      </x:c>
      <x:c r="Q2" s="39" t="n">
        <x:v>60</x:v>
      </x:c>
      <x:c r="R2" s="44" t="n">
        <x:v>14600</x:v>
      </x:c>
      <x:c r="S2" s="39" t="str">
        <x:v>Alto</x:v>
      </x:c>
      <x:c r="T2" s="45" t="n">
        <x:v>0.94</x:v>
      </x:c>
      <x:c r="U2" s="39" t="n">
        <x:v>0</x:v>
      </x:c>
      <x:c r="V2" s="44" t="n">
        <x:v>0</x:v>
      </x:c>
      <x:c r="W2" s="39" t="str">
        <x:v>No</x:v>
      </x:c>
      <x:c r="X2" s="42"/>
      <x:c r="Y2" s="39" t="str">
        <x:v>No aplica</x:v>
      </x:c>
      <x:c r="Z2" s="39" t="n">
        <x:v>0</x:v>
      </x:c>
      <x:c r="AA2" s="39" t="str">
        <x:v>No responde</x:v>
      </x:c>
      <x:c r="AB2" s="39" t="str">
        <x:v>No</x:v>
      </x:c>
      <x:c r="AC2" s="39" t="str">
        <x:v>No</x:v>
      </x:c>
      <x:c r="AD2" s="46" t="n">
        <x:f>IF(C2="COMERCIAL",IF(AC2="Sí",40,0)+IF(D2="Recurrente",15,0)+IF(S2="Alto",25,IF(S2="Medio",12,0))+IF(R2&gt;=30000,20,IF(R2&gt;=10000,12,IF(R2&gt;=5000,6,0)))+IF(N2&lt;=Metadatos!$B$13+1,25,0)+IF(AB2="Sí",15,0)+IF(AA2="No responde",-10,0),IF(Y2="Incumplido",40,0)+IF(AND(W2="Sí",X2=Metadatos!$B$13),35,0)+IF(V2&gt;=20000,25,IF(V2&gt;=10000,18,IF(V2&gt;=5000,10,0)))+IF(U2&gt;=15,25,IF(U2&gt;=6,20,IF(U2&gt;=3,10,0)))+IF(Z2&gt;=3,20,IF(Z2&gt;=2,10,0))+IF(AA2="Respondió",-10,0)+IF(AND(Y2="Vigente",X2&gt;Metadatos!$B$13),-10,0))</x:f>
        <x:v>67</x:v>
      </x:c>
      <x:c r="AE2" s="39" t="str">
        <x:f>IF(AD2&gt;=70,"P1",IF(AD2&gt;=50,"P2",IF(AD2&gt;=30,"P3","P4")))</x:f>
        <x:v>P2</x:v>
      </x:c>
      <x:c r="AF2" s="39" t="str">
        <x:v>Cliente recurrente con oportunidad activa</x:v>
      </x:c>
      <x:c r="AG2" s="39" t="str">
        <x:v>Pendiente</x:v>
      </x:c>
      <x:c r="AH2" s="39" t="str">
        <x:v>https://www.google.com/maps?q=-5.179804,-80.654436</x:v>
      </x:c>
      <x:c r="AI2" s="39" t="str">
        <x:v>SINTÉTICO</x:v>
      </x:c>
    </x:row>
    <x:row r="3">
      <x:c r="A3" s="39" t="str">
        <x:v>CLI-002</x:v>
      </x:c>
      <x:c r="B3" s="39" t="str">
        <x:v>Cliente 002</x:v>
      </x:c>
      <x:c r="C3" s="39" t="str">
        <x:v>COBRANZA</x:v>
      </x:c>
      <x:c r="D3" s="39" t="str">
        <x:v>Deudor</x:v>
      </x:c>
      <x:c r="E3" s="39" t="str">
        <x:v>Cobranza de crédito</x:v>
      </x:c>
      <x:c r="F3" s="39" t="str">
        <x:v>Recuperación</x:v>
      </x:c>
      <x:c r="G3" s="40" t="n">
        <x:v>-5.196385</x:v>
      </x:c>
      <x:c r="H3" s="40" t="n">
        <x:v>-80.619328</x:v>
      </x:c>
      <x:c r="I3" s="39" t="str">
        <x:v>Piura</x:v>
      </x:c>
      <x:c r="J3" s="39" t="str">
        <x:v>Piura</x:v>
      </x:c>
      <x:c r="K3" s="39" t="str">
        <x:v>AG01</x:v>
      </x:c>
      <x:c r="L3" s="39" t="str">
        <x:v>Mibanco Piura Centro</x:v>
      </x:c>
      <x:c r="M3" s="41" t="n">
        <x:v>1.51</x:v>
      </x:c>
      <x:c r="N3" s="42" t="n">
        <x:v>46291</x:v>
      </x:c>
      <x:c r="O3" s="43" t="n">
        <x:v>0.375</x:v>
      </x:c>
      <x:c r="P3" s="43" t="n">
        <x:v>0.4583333333333333</x:v>
      </x:c>
      <x:c r="Q3" s="39" t="n">
        <x:v>50</x:v>
      </x:c>
      <x:c r="R3" s="44" t="n">
        <x:v>0</x:v>
      </x:c>
      <x:c r="S3" s="39" t="str">
        <x:v>No aplica</x:v>
      </x:c>
      <x:c r="T3" s="45" t="n">
        <x:v>0</x:v>
      </x:c>
      <x:c r="U3" s="39" t="n">
        <x:v>22</x:v>
      </x:c>
      <x:c r="V3" s="44" t="n">
        <x:v>13200</x:v>
      </x:c>
      <x:c r="W3" s="39" t="str">
        <x:v>No</x:v>
      </x:c>
      <x:c r="X3" s="42"/>
      <x:c r="Y3" s="39" t="str">
        <x:v>Sin compromiso</x:v>
      </x:c>
      <x:c r="Z3" s="39" t="n">
        <x:v>3</x:v>
      </x:c>
      <x:c r="AA3" s="39" t="str">
        <x:v>No responde</x:v>
      </x:c>
      <x:c r="AB3" s="39" t="str">
        <x:v>No</x:v>
      </x:c>
      <x:c r="AC3" s="39" t="str">
        <x:v>No</x:v>
      </x:c>
      <x:c r="AD3" s="46" t="n">
        <x:f>IF(C3="COMERCIAL",IF(AC3="Sí",40,0)+IF(D3="Recurrente",15,0)+IF(S3="Alto",25,IF(S3="Medio",12,0))+IF(R3&gt;=30000,20,IF(R3&gt;=10000,12,IF(R3&gt;=5000,6,0)))+IF(N3&lt;=Metadatos!$B$13+1,25,0)+IF(AB3="Sí",15,0)+IF(AA3="No responde",-10,0),IF(Y3="Incumplido",40,0)+IF(AND(W3="Sí",X3=Metadatos!$B$13),35,0)+IF(V3&gt;=20000,25,IF(V3&gt;=10000,18,IF(V3&gt;=5000,10,0)))+IF(U3&gt;=15,25,IF(U3&gt;=6,20,IF(U3&gt;=3,10,0)))+IF(Z3&gt;=3,20,IF(Z3&gt;=2,10,0))+IF(AA3="Respondió",-10,0)+IF(AND(Y3="Vigente",X3&gt;Metadatos!$B$13),-10,0))</x:f>
        <x:v>63</x:v>
      </x:c>
      <x:c r="AE3" s="39" t="str">
        <x:f>IF(AD3&gt;=70,"P1",IF(AD3&gt;=50,"P2",IF(AD3&gt;=30,"P3","P4")))</x:f>
        <x:v>P2</x:v>
      </x:c>
      <x:c r="AF3" s="39" t="str">
        <x:v>Mora elevada y saldo alto</x:v>
      </x:c>
      <x:c r="AG3" s="39" t="str">
        <x:v>Programada</x:v>
      </x:c>
      <x:c r="AH3" s="39" t="str">
        <x:v>https://www.google.com/maps?q=-5.196385,-80.619328</x:v>
      </x:c>
      <x:c r="AI3" s="39" t="str">
        <x:v>SINTÉTICO</x:v>
      </x:c>
    </x:row>
    <x:row r="4">
      <x:c r="A4" s="39" t="str">
        <x:v>CLI-003</x:v>
      </x:c>
      <x:c r="B4" s="39" t="str">
        <x:v>Cliente 003</x:v>
      </x:c>
      <x:c r="C4" s="39" t="str">
        <x:v>COMERCIAL</x:v>
      </x:c>
      <x:c r="D4" s="39" t="str">
        <x:v>Nuevo</x:v>
      </x:c>
      <x:c r="E4" s="39" t="str">
        <x:v>Seguro</x:v>
      </x:c>
      <x:c r="F4" s="39" t="str">
        <x:v>Negociación</x:v>
      </x:c>
      <x:c r="G4" s="40" t="n">
        <x:v>-5.200796</x:v>
      </x:c>
      <x:c r="H4" s="40" t="n">
        <x:v>-80.643679</x:v>
      </x:c>
      <x:c r="I4" s="39" t="str">
        <x:v>Piura</x:v>
      </x:c>
      <x:c r="J4" s="39" t="str">
        <x:v>Piura</x:v>
      </x:c>
      <x:c r="K4" s="39" t="str">
        <x:v>AG01</x:v>
      </x:c>
      <x:c r="L4" s="39" t="str">
        <x:v>Mibanco Piura Centro</x:v>
      </x:c>
      <x:c r="M4" s="41" t="n">
        <x:v>1.39</x:v>
      </x:c>
      <x:c r="N4" s="42" t="n">
        <x:v>46293</x:v>
      </x:c>
      <x:c r="O4" s="43" t="n">
        <x:v>0.5625</x:v>
      </x:c>
      <x:c r="P4" s="43" t="n">
        <x:v>0.6458333333333334</x:v>
      </x:c>
      <x:c r="Q4" s="39" t="n">
        <x:v>45</x:v>
      </x:c>
      <x:c r="R4" s="44" t="n">
        <x:v>7100</x:v>
      </x:c>
      <x:c r="S4" s="39" t="str">
        <x:v>Medio</x:v>
      </x:c>
      <x:c r="T4" s="45" t="n">
        <x:v>0.64</x:v>
      </x:c>
      <x:c r="U4" s="39" t="n">
        <x:v>0</x:v>
      </x:c>
      <x:c r="V4" s="44" t="n">
        <x:v>0</x:v>
      </x:c>
      <x:c r="W4" s="39" t="str">
        <x:v>No</x:v>
      </x:c>
      <x:c r="X4" s="42"/>
      <x:c r="Y4" s="39" t="str">
        <x:v>No aplica</x:v>
      </x:c>
      <x:c r="Z4" s="39" t="n">
        <x:v>0</x:v>
      </x:c>
      <x:c r="AA4" s="39" t="str">
        <x:v>Respondió</x:v>
      </x:c>
      <x:c r="AB4" s="39" t="str">
        <x:v>Sí</x:v>
      </x:c>
      <x:c r="AC4" s="39" t="str">
        <x:v>No</x:v>
      </x:c>
      <x:c r="AD4" s="46" t="n">
        <x:f>IF(C4="COMERCIAL",IF(AC4="Sí",40,0)+IF(D4="Recurrente",15,0)+IF(S4="Alto",25,IF(S4="Medio",12,0))+IF(R4&gt;=30000,20,IF(R4&gt;=10000,12,IF(R4&gt;=5000,6,0)))+IF(N4&lt;=Metadatos!$B$13+1,25,0)+IF(AB4="Sí",15,0)+IF(AA4="No responde",-10,0),IF(Y4="Incumplido",40,0)+IF(AND(W4="Sí",X4=Metadatos!$B$13),35,0)+IF(V4&gt;=20000,25,IF(V4&gt;=10000,18,IF(V4&gt;=5000,10,0)))+IF(U4&gt;=15,25,IF(U4&gt;=6,20,IF(U4&gt;=3,10,0)))+IF(Z4&gt;=3,20,IF(Z4&gt;=2,10,0))+IF(AA4="Respondió",-10,0)+IF(AND(Y4="Vigente",X4&gt;Metadatos!$B$13),-10,0))</x:f>
        <x:v>33</x:v>
      </x:c>
      <x:c r="AE4" s="39" t="str">
        <x:f>IF(AD4&gt;=70,"P1",IF(AD4&gt;=50,"P2",IF(AD4&gt;=30,"P3","P4")))</x:f>
        <x:v>P3</x:v>
      </x:c>
      <x:c r="AF4" s="39" t="str">
        <x:v>Interés medio; requiere seguimiento</x:v>
      </x:c>
      <x:c r="AG4" s="39" t="str">
        <x:v>Pendiente</x:v>
      </x:c>
      <x:c r="AH4" s="39" t="str">
        <x:v>https://www.google.com/maps?q=-5.200796,-80.643679</x:v>
      </x:c>
      <x:c r="AI4" s="39" t="str">
        <x:v>SINTÉTICO</x:v>
      </x:c>
    </x:row>
    <x:row r="5">
      <x:c r="A5" s="39" t="str">
        <x:v>CLI-004</x:v>
      </x:c>
      <x:c r="B5" s="39" t="str">
        <x:v>Cliente 004</x:v>
      </x:c>
      <x:c r="C5" s="39" t="str">
        <x:v>COBRANZA</x:v>
      </x:c>
      <x:c r="D5" s="39" t="str">
        <x:v>Deudor</x:v>
      </x:c>
      <x:c r="E5" s="39" t="str">
        <x:v>Cobranza de crédito</x:v>
      </x:c>
      <x:c r="F5" s="39" t="str">
        <x:v>Recuperación</x:v>
      </x:c>
      <x:c r="G5" s="40" t="n">
        <x:v>-5.172667</x:v>
      </x:c>
      <x:c r="H5" s="40" t="n">
        <x:v>-80.6415</x:v>
      </x:c>
      <x:c r="I5" s="39" t="str">
        <x:v>Piura</x:v>
      </x:c>
      <x:c r="J5" s="39" t="str">
        <x:v>Piura</x:v>
      </x:c>
      <x:c r="K5" s="39" t="str">
        <x:v>AG01</x:v>
      </x:c>
      <x:c r="L5" s="39" t="str">
        <x:v>Mibanco Piura Centro</x:v>
      </x:c>
      <x:c r="M5" s="41" t="n">
        <x:v>2.63</x:v>
      </x:c>
      <x:c r="N5" s="42" t="n">
        <x:v>46291</x:v>
      </x:c>
      <x:c r="O5" s="43" t="n">
        <x:v>0.5208333333333334</x:v>
      </x:c>
      <x:c r="P5" s="43" t="n">
        <x:v>0.6041666666666666</x:v>
      </x:c>
      <x:c r="Q5" s="39" t="n">
        <x:v>25</x:v>
      </x:c>
      <x:c r="R5" s="44" t="n">
        <x:v>0</x:v>
      </x:c>
      <x:c r="S5" s="39" t="str">
        <x:v>No aplica</x:v>
      </x:c>
      <x:c r="T5" s="45" t="n">
        <x:v>0</x:v>
      </x:c>
      <x:c r="U5" s="39" t="n">
        <x:v>5</x:v>
      </x:c>
      <x:c r="V5" s="44" t="n">
        <x:v>29200</x:v>
      </x:c>
      <x:c r="W5" s="39" t="str">
        <x:v>Sí</x:v>
      </x:c>
      <x:c r="X5" s="42" t="n">
        <x:v>46291</x:v>
      </x:c>
      <x:c r="Y5" s="39" t="str">
        <x:v>Vigente</x:v>
      </x:c>
      <x:c r="Z5" s="39" t="n">
        <x:v>3</x:v>
      </x:c>
      <x:c r="AA5" s="39" t="str">
        <x:v>No responde</x:v>
      </x:c>
      <x:c r="AB5" s="39" t="str">
        <x:v>No</x:v>
      </x:c>
      <x:c r="AC5" s="39" t="str">
        <x:v>Sí</x:v>
      </x:c>
      <x:c r="AD5" s="46" t="n">
        <x:f>IF(C5="COMERCIAL",IF(AC5="Sí",40,0)+IF(D5="Recurrente",15,0)+IF(S5="Alto",25,IF(S5="Medio",12,0))+IF(R5&gt;=30000,20,IF(R5&gt;=10000,12,IF(R5&gt;=5000,6,0)))+IF(N5&lt;=Metadatos!$B$13+1,25,0)+IF(AB5="Sí",15,0)+IF(AA5="No responde",-10,0),IF(Y5="Incumplido",40,0)+IF(AND(W5="Sí",X5=Metadatos!$B$13),35,0)+IF(V5&gt;=20000,25,IF(V5&gt;=10000,18,IF(V5&gt;=5000,10,0)))+IF(U5&gt;=15,25,IF(U5&gt;=6,20,IF(U5&gt;=3,10,0)))+IF(Z5&gt;=3,20,IF(Z5&gt;=2,10,0))+IF(AA5="Respondió",-10,0)+IF(AND(Y5="Vigente",X5&gt;Metadatos!$B$13),-10,0))</x:f>
        <x:v>90</x:v>
      </x:c>
      <x:c r="AE5" s="39" t="str">
        <x:f>IF(AD5&gt;=70,"P1",IF(AD5&gt;=50,"P2",IF(AD5&gt;=30,"P3","P4")))</x:f>
        <x:v>P1</x:v>
      </x:c>
      <x:c r="AF5" s="39" t="str">
        <x:v>Compromiso de pago con vencimiento hoy</x:v>
      </x:c>
      <x:c r="AG5" s="39" t="str">
        <x:v>Pendiente</x:v>
      </x:c>
      <x:c r="AH5" s="39" t="str">
        <x:v>https://www.google.com/maps?q=-5.172667,-80.641500</x:v>
      </x:c>
      <x:c r="AI5" s="39" t="str">
        <x:v>SINTÉTICO</x:v>
      </x:c>
    </x:row>
    <x:row r="6">
      <x:c r="A6" s="39" t="str">
        <x:v>CLI-005</x:v>
      </x:c>
      <x:c r="B6" s="39" t="str">
        <x:v>Cliente 005</x:v>
      </x:c>
      <x:c r="C6" s="39" t="str">
        <x:v>COMERCIAL</x:v>
      </x:c>
      <x:c r="D6" s="39" t="str">
        <x:v>Recurrente</x:v>
      </x:c>
      <x:c r="E6" s="39" t="str">
        <x:v>Crédito personal</x:v>
      </x:c>
      <x:c r="F6" s="39" t="str">
        <x:v>Evaluación</x:v>
      </x:c>
      <x:c r="G6" s="40" t="n">
        <x:v>-5.178096</x:v>
      </x:c>
      <x:c r="H6" s="40" t="n">
        <x:v>-80.613074</x:v>
      </x:c>
      <x:c r="I6" s="39" t="str">
        <x:v>Piura</x:v>
      </x:c>
      <x:c r="J6" s="39" t="str">
        <x:v>Piura</x:v>
      </x:c>
      <x:c r="K6" s="39" t="str">
        <x:v>AG01</x:v>
      </x:c>
      <x:c r="L6" s="39" t="str">
        <x:v>Mibanco Piura Centro</x:v>
      </x:c>
      <x:c r="M6" s="41" t="n">
        <x:v>2.86</x:v>
      </x:c>
      <x:c r="N6" s="42" t="n">
        <x:v>46293</x:v>
      </x:c>
      <x:c r="O6" s="43" t="n">
        <x:v>0.5833333333333334</x:v>
      </x:c>
      <x:c r="P6" s="43" t="n">
        <x:v>0.6458333333333334</x:v>
      </x:c>
      <x:c r="Q6" s="39" t="n">
        <x:v>45</x:v>
      </x:c>
      <x:c r="R6" s="44" t="n">
        <x:v>33800</x:v>
      </x:c>
      <x:c r="S6" s="39" t="str">
        <x:v>Medio</x:v>
      </x:c>
      <x:c r="T6" s="45" t="n">
        <x:v>0.59</x:v>
      </x:c>
      <x:c r="U6" s="39" t="n">
        <x:v>0</x:v>
      </x:c>
      <x:c r="V6" s="44" t="n">
        <x:v>0</x:v>
      </x:c>
      <x:c r="W6" s="39" t="str">
        <x:v>No</x:v>
      </x:c>
      <x:c r="X6" s="42"/>
      <x:c r="Y6" s="39" t="str">
        <x:v>No aplica</x:v>
      </x:c>
      <x:c r="Z6" s="39" t="n">
        <x:v>0</x:v>
      </x:c>
      <x:c r="AA6" s="39" t="str">
        <x:v>Respondió</x:v>
      </x:c>
      <x:c r="AB6" s="39" t="str">
        <x:v>Sí</x:v>
      </x:c>
      <x:c r="AC6" s="39" t="str">
        <x:v>No</x:v>
      </x:c>
      <x:c r="AD6" s="46" t="n">
        <x:f>IF(C6="COMERCIAL",IF(AC6="Sí",40,0)+IF(D6="Recurrente",15,0)+IF(S6="Alto",25,IF(S6="Medio",12,0))+IF(R6&gt;=30000,20,IF(R6&gt;=10000,12,IF(R6&gt;=5000,6,0)))+IF(N6&lt;=Metadatos!$B$13+1,25,0)+IF(AB6="Sí",15,0)+IF(AA6="No responde",-10,0),IF(Y6="Incumplido",40,0)+IF(AND(W6="Sí",X6=Metadatos!$B$13),35,0)+IF(V6&gt;=20000,25,IF(V6&gt;=10000,18,IF(V6&gt;=5000,10,0)))+IF(U6&gt;=15,25,IF(U6&gt;=6,20,IF(U6&gt;=3,10,0)))+IF(Z6&gt;=3,20,IF(Z6&gt;=2,10,0))+IF(AA6="Respondió",-10,0)+IF(AND(Y6="Vigente",X6&gt;Metadatos!$B$13),-10,0))</x:f>
        <x:v>62</x:v>
      </x:c>
      <x:c r="AE6" s="39" t="str">
        <x:f>IF(AD6&gt;=70,"P1",IF(AD6&gt;=50,"P2",IF(AD6&gt;=30,"P3","P4")))</x:f>
        <x:v>P2</x:v>
      </x:c>
      <x:c r="AF6" s="39" t="str">
        <x:v>Cliente recurrente con oportunidad activa</x:v>
      </x:c>
      <x:c r="AG6" s="39" t="str">
        <x:v>Pendiente</x:v>
      </x:c>
      <x:c r="AH6" s="39" t="str">
        <x:v>https://www.google.com/maps?q=-5.178096,-80.613074</x:v>
      </x:c>
      <x:c r="AI6" s="39" t="str">
        <x:v>SINTÉTICO</x:v>
      </x:c>
    </x:row>
    <x:row r="7">
      <x:c r="A7" s="39" t="str">
        <x:v>CLI-006</x:v>
      </x:c>
      <x:c r="B7" s="39" t="str">
        <x:v>Cliente 006</x:v>
      </x:c>
      <x:c r="C7" s="39" t="str">
        <x:v>COBRANZA</x:v>
      </x:c>
      <x:c r="D7" s="39" t="str">
        <x:v>Deudor</x:v>
      </x:c>
      <x:c r="E7" s="39" t="str">
        <x:v>Cobranza de crédito</x:v>
      </x:c>
      <x:c r="F7" s="39" t="str">
        <x:v>Recuperación</x:v>
      </x:c>
      <x:c r="G7" s="40" t="n">
        <x:v>-5.202913</x:v>
      </x:c>
      <x:c r="H7" s="40" t="n">
        <x:v>-80.605876</x:v>
      </x:c>
      <x:c r="I7" s="39" t="str">
        <x:v>Piura</x:v>
      </x:c>
      <x:c r="J7" s="39" t="str">
        <x:v>Piura</x:v>
      </x:c>
      <x:c r="K7" s="39" t="str">
        <x:v>AG01</x:v>
      </x:c>
      <x:c r="L7" s="39" t="str">
        <x:v>Mibanco Piura Centro</x:v>
      </x:c>
      <x:c r="M7" s="41" t="n">
        <x:v>3.13</x:v>
      </x:c>
      <x:c r="N7" s="42" t="n">
        <x:v>46293</x:v>
      </x:c>
      <x:c r="O7" s="43" t="n">
        <x:v>0.5625</x:v>
      </x:c>
      <x:c r="P7" s="43" t="n">
        <x:v>0.625</x:v>
      </x:c>
      <x:c r="Q7" s="39" t="n">
        <x:v>30</x:v>
      </x:c>
      <x:c r="R7" s="44" t="n">
        <x:v>0</x:v>
      </x:c>
      <x:c r="S7" s="39" t="str">
        <x:v>No aplica</x:v>
      </x:c>
      <x:c r="T7" s="45" t="n">
        <x:v>0</x:v>
      </x:c>
      <x:c r="U7" s="39" t="n">
        <x:v>1</x:v>
      </x:c>
      <x:c r="V7" s="44" t="n">
        <x:v>4900</x:v>
      </x:c>
      <x:c r="W7" s="39" t="str">
        <x:v>Sí</x:v>
      </x:c>
      <x:c r="X7" s="42" t="n">
        <x:v>46293</x:v>
      </x:c>
      <x:c r="Y7" s="39" t="str">
        <x:v>Vigente</x:v>
      </x:c>
      <x:c r="Z7" s="39" t="n">
        <x:v>4</x:v>
      </x:c>
      <x:c r="AA7" s="39" t="str">
        <x:v>No responde</x:v>
      </x:c>
      <x:c r="AB7" s="39" t="str">
        <x:v>No</x:v>
      </x:c>
      <x:c r="AC7" s="39" t="str">
        <x:v>No</x:v>
      </x:c>
      <x:c r="AD7" s="46" t="n">
        <x:f>IF(C7="COMERCIAL",IF(AC7="Sí",40,0)+IF(D7="Recurrente",15,0)+IF(S7="Alto",25,IF(S7="Medio",12,0))+IF(R7&gt;=30000,20,IF(R7&gt;=10000,12,IF(R7&gt;=5000,6,0)))+IF(N7&lt;=Metadatos!$B$13+1,25,0)+IF(AB7="Sí",15,0)+IF(AA7="No responde",-10,0),IF(Y7="Incumplido",40,0)+IF(AND(W7="Sí",X7=Metadatos!$B$13),35,0)+IF(V7&gt;=20000,25,IF(V7&gt;=10000,18,IF(V7&gt;=5000,10,0)))+IF(U7&gt;=15,25,IF(U7&gt;=6,20,IF(U7&gt;=3,10,0)))+IF(Z7&gt;=3,20,IF(Z7&gt;=2,10,0))+IF(AA7="Respondió",-10,0)+IF(AND(Y7="Vigente",X7&gt;Metadatos!$B$13),-10,0))</x:f>
        <x:v>10</x:v>
      </x:c>
      <x:c r="AE7" s="39" t="str">
        <x:f>IF(AD7&gt;=70,"P1",IF(AD7&gt;=50,"P2",IF(AD7&gt;=30,"P3","P4")))</x:f>
        <x:v>P4</x:v>
      </x:c>
      <x:c r="AF7" s="39" t="str">
        <x:v>Varios intentos sin respuesta</x:v>
      </x:c>
      <x:c r="AG7" s="39" t="str">
        <x:v>Pendiente</x:v>
      </x:c>
      <x:c r="AH7" s="39" t="str">
        <x:v>https://www.google.com/maps?q=-5.202913,-80.605876</x:v>
      </x:c>
      <x:c r="AI7" s="39" t="str">
        <x:v>SINTÉTICO</x:v>
      </x:c>
    </x:row>
    <x:row r="8">
      <x:c r="A8" s="39" t="str">
        <x:v>CLI-007</x:v>
      </x:c>
      <x:c r="B8" s="39" t="str">
        <x:v>Cliente 007</x:v>
      </x:c>
      <x:c r="C8" s="39" t="str">
        <x:v>COMERCIAL</x:v>
      </x:c>
      <x:c r="D8" s="39" t="str">
        <x:v>Recurrente</x:v>
      </x:c>
      <x:c r="E8" s="39" t="str">
        <x:v>Seguro</x:v>
      </x:c>
      <x:c r="F8" s="39" t="str">
        <x:v>Prospecto</x:v>
      </x:c>
      <x:c r="G8" s="40" t="n">
        <x:v>-5.187275</x:v>
      </x:c>
      <x:c r="H8" s="40" t="n">
        <x:v>-80.610038</x:v>
      </x:c>
      <x:c r="I8" s="39" t="str">
        <x:v>Piura</x:v>
      </x:c>
      <x:c r="J8" s="39" t="str">
        <x:v>Piura</x:v>
      </x:c>
      <x:c r="K8" s="39" t="str">
        <x:v>AG01</x:v>
      </x:c>
      <x:c r="L8" s="39" t="str">
        <x:v>Mibanco Piura Centro</x:v>
      </x:c>
      <x:c r="M8" s="41" t="n">
        <x:v>2.66</x:v>
      </x:c>
      <x:c r="N8" s="42" t="n">
        <x:v>46295</x:v>
      </x:c>
      <x:c r="O8" s="43" t="n">
        <x:v>0.6041666666666666</x:v>
      </x:c>
      <x:c r="P8" s="43" t="n">
        <x:v>0.6666666666666666</x:v>
      </x:c>
      <x:c r="Q8" s="39" t="n">
        <x:v>40</x:v>
      </x:c>
      <x:c r="R8" s="44" t="n">
        <x:v>19400</x:v>
      </x:c>
      <x:c r="S8" s="39" t="str">
        <x:v>Bajo</x:v>
      </x:c>
      <x:c r="T8" s="45" t="n">
        <x:v>0.26</x:v>
      </x:c>
      <x:c r="U8" s="39" t="n">
        <x:v>0</x:v>
      </x:c>
      <x:c r="V8" s="44" t="n">
        <x:v>0</x:v>
      </x:c>
      <x:c r="W8" s="39" t="str">
        <x:v>No</x:v>
      </x:c>
      <x:c r="X8" s="42"/>
      <x:c r="Y8" s="39" t="str">
        <x:v>No aplica</x:v>
      </x:c>
      <x:c r="Z8" s="39" t="n">
        <x:v>0</x:v>
      </x:c>
      <x:c r="AA8" s="39" t="str">
        <x:v>No responde</x:v>
      </x:c>
      <x:c r="AB8" s="39" t="str">
        <x:v>No</x:v>
      </x:c>
      <x:c r="AC8" s="39" t="str">
        <x:v>No</x:v>
      </x:c>
      <x:c r="AD8" s="46" t="n">
        <x:f>IF(C8="COMERCIAL",IF(AC8="Sí",40,0)+IF(D8="Recurrente",15,0)+IF(S8="Alto",25,IF(S8="Medio",12,0))+IF(R8&gt;=30000,20,IF(R8&gt;=10000,12,IF(R8&gt;=5000,6,0)))+IF(N8&lt;=Metadatos!$B$13+1,25,0)+IF(AB8="Sí",15,0)+IF(AA8="No responde",-10,0),IF(Y8="Incumplido",40,0)+IF(AND(W8="Sí",X8=Metadatos!$B$13),35,0)+IF(V8&gt;=20000,25,IF(V8&gt;=10000,18,IF(V8&gt;=5000,10,0)))+IF(U8&gt;=15,25,IF(U8&gt;=6,20,IF(U8&gt;=3,10,0)))+IF(Z8&gt;=3,20,IF(Z8&gt;=2,10,0))+IF(AA8="Respondió",-10,0)+IF(AND(Y8="Vigente",X8&gt;Metadatos!$B$13),-10,0))</x:f>
        <x:v>17</x:v>
      </x:c>
      <x:c r="AE8" s="39" t="str">
        <x:f>IF(AD8&gt;=70,"P1",IF(AD8&gt;=50,"P2",IF(AD8&gt;=30,"P3","P4")))</x:f>
        <x:v>P4</x:v>
      </x:c>
      <x:c r="AF8" s="39" t="str">
        <x:v>Prospecto sin urgencia inmediata</x:v>
      </x:c>
      <x:c r="AG8" s="39" t="str">
        <x:v>Pendiente</x:v>
      </x:c>
      <x:c r="AH8" s="39" t="str">
        <x:v>https://www.google.com/maps?q=-5.187275,-80.610038</x:v>
      </x:c>
      <x:c r="AI8" s="39" t="str">
        <x:v>SINTÉTICO</x:v>
      </x:c>
    </x:row>
    <x:row r="9">
      <x:c r="A9" s="39" t="str">
        <x:v>CLI-008</x:v>
      </x:c>
      <x:c r="B9" s="39" t="str">
        <x:v>Cliente 008</x:v>
      </x:c>
      <x:c r="C9" s="39" t="str">
        <x:v>COBRANZA</x:v>
      </x:c>
      <x:c r="D9" s="39" t="str">
        <x:v>Deudor</x:v>
      </x:c>
      <x:c r="E9" s="39" t="str">
        <x:v>Cobranza de crédito</x:v>
      </x:c>
      <x:c r="F9" s="39" t="str">
        <x:v>Recuperación</x:v>
      </x:c>
      <x:c r="G9" s="40" t="n">
        <x:v>-5.177362</x:v>
      </x:c>
      <x:c r="H9" s="40" t="n">
        <x:v>-80.617745</x:v>
      </x:c>
      <x:c r="I9" s="39" t="str">
        <x:v>Piura</x:v>
      </x:c>
      <x:c r="J9" s="39" t="str">
        <x:v>Piura</x:v>
      </x:c>
      <x:c r="K9" s="39" t="str">
        <x:v>AG01</x:v>
      </x:c>
      <x:c r="L9" s="39" t="str">
        <x:v>Mibanco Piura Centro</x:v>
      </x:c>
      <x:c r="M9" s="41" t="n">
        <x:v>2.55</x:v>
      </x:c>
      <x:c r="N9" s="42" t="n">
        <x:v>46292</x:v>
      </x:c>
      <x:c r="O9" s="43" t="n">
        <x:v>0.5416666666666666</x:v>
      </x:c>
      <x:c r="P9" s="43" t="n">
        <x:v>0.5833333333333334</x:v>
      </x:c>
      <x:c r="Q9" s="39" t="n">
        <x:v>25</x:v>
      </x:c>
      <x:c r="R9" s="44" t="n">
        <x:v>0</x:v>
      </x:c>
      <x:c r="S9" s="39" t="str">
        <x:v>No aplica</x:v>
      </x:c>
      <x:c r="T9" s="45" t="n">
        <x:v>0</x:v>
      </x:c>
      <x:c r="U9" s="39" t="n">
        <x:v>4</x:v>
      </x:c>
      <x:c r="V9" s="44" t="n">
        <x:v>2500</x:v>
      </x:c>
      <x:c r="W9" s="39" t="str">
        <x:v>No</x:v>
      </x:c>
      <x:c r="X9" s="42"/>
      <x:c r="Y9" s="39" t="str">
        <x:v>Sin compromiso</x:v>
      </x:c>
      <x:c r="Z9" s="39" t="n">
        <x:v>4</x:v>
      </x:c>
      <x:c r="AA9" s="39" t="str">
        <x:v>Respondió</x:v>
      </x:c>
      <x:c r="AB9" s="39" t="str">
        <x:v>No</x:v>
      </x:c>
      <x:c r="AC9" s="39" t="str">
        <x:v>No</x:v>
      </x:c>
      <x:c r="AD9" s="46" t="n">
        <x:f>IF(C9="COMERCIAL",IF(AC9="Sí",40,0)+IF(D9="Recurrente",15,0)+IF(S9="Alto",25,IF(S9="Medio",12,0))+IF(R9&gt;=30000,20,IF(R9&gt;=10000,12,IF(R9&gt;=5000,6,0)))+IF(N9&lt;=Metadatos!$B$13+1,25,0)+IF(AB9="Sí",15,0)+IF(AA9="No responde",-10,0),IF(Y9="Incumplido",40,0)+IF(AND(W9="Sí",X9=Metadatos!$B$13),35,0)+IF(V9&gt;=20000,25,IF(V9&gt;=10000,18,IF(V9&gt;=5000,10,0)))+IF(U9&gt;=15,25,IF(U9&gt;=6,20,IF(U9&gt;=3,10,0)))+IF(Z9&gt;=3,20,IF(Z9&gt;=2,10,0))+IF(AA9="Respondió",-10,0)+IF(AND(Y9="Vigente",X9&gt;Metadatos!$B$13),-10,0))</x:f>
        <x:v>20</x:v>
      </x:c>
      <x:c r="AE9" s="39" t="str">
        <x:f>IF(AD9&gt;=70,"P1",IF(AD9&gt;=50,"P2",IF(AD9&gt;=30,"P3","P4")))</x:f>
        <x:v>P4</x:v>
      </x:c>
      <x:c r="AF9" s="39" t="str">
        <x:v>Varios intentos sin respuesta</x:v>
      </x:c>
      <x:c r="AG9" s="39" t="str">
        <x:v>Pendiente</x:v>
      </x:c>
      <x:c r="AH9" s="39" t="str">
        <x:v>https://www.google.com/maps?q=-5.177362,-80.617745</x:v>
      </x:c>
      <x:c r="AI9" s="39" t="str">
        <x:v>SINTÉTICO</x:v>
      </x:c>
    </x:row>
    <x:row r="10">
      <x:c r="A10" s="39" t="str">
        <x:v>CLI-009</x:v>
      </x:c>
      <x:c r="B10" s="39" t="str">
        <x:v>Cliente 009</x:v>
      </x:c>
      <x:c r="C10" s="39" t="str">
        <x:v>COMERCIAL</x:v>
      </x:c>
      <x:c r="D10" s="39" t="str">
        <x:v>Nuevo</x:v>
      </x:c>
      <x:c r="E10" s="39" t="str">
        <x:v>Crédito para negocio</x:v>
      </x:c>
      <x:c r="F10" s="39" t="str">
        <x:v>Contactado</x:v>
      </x:c>
      <x:c r="G10" s="40" t="n">
        <x:v>-5.211821</x:v>
      </x:c>
      <x:c r="H10" s="40" t="n">
        <x:v>-80.646357</x:v>
      </x:c>
      <x:c r="I10" s="39" t="str">
        <x:v>Piura</x:v>
      </x:c>
      <x:c r="J10" s="39" t="str">
        <x:v>Piura</x:v>
      </x:c>
      <x:c r="K10" s="39" t="str">
        <x:v>AG01</x:v>
      </x:c>
      <x:c r="L10" s="39" t="str">
        <x:v>Mibanco Piura Centro</x:v>
      </x:c>
      <x:c r="M10" s="41" t="n">
        <x:v>2.43</x:v>
      </x:c>
      <x:c r="N10" s="42" t="n">
        <x:v>46296</x:v>
      </x:c>
      <x:c r="O10" s="43" t="n">
        <x:v>0.5</x:v>
      </x:c>
      <x:c r="P10" s="43" t="n">
        <x:v>0.5625</x:v>
      </x:c>
      <x:c r="Q10" s="39" t="n">
        <x:v>40</x:v>
      </x:c>
      <x:c r="R10" s="44" t="n">
        <x:v>40900</x:v>
      </x:c>
      <x:c r="S10" s="39" t="str">
        <x:v>Bajo</x:v>
      </x:c>
      <x:c r="T10" s="45" t="n">
        <x:v>0.15</x:v>
      </x:c>
      <x:c r="U10" s="39" t="n">
        <x:v>0</x:v>
      </x:c>
      <x:c r="V10" s="44" t="n">
        <x:v>0</x:v>
      </x:c>
      <x:c r="W10" s="39" t="str">
        <x:v>No</x:v>
      </x:c>
      <x:c r="X10" s="42"/>
      <x:c r="Y10" s="39" t="str">
        <x:v>No aplica</x:v>
      </x:c>
      <x:c r="Z10" s="39" t="n">
        <x:v>0</x:v>
      </x:c>
      <x:c r="AA10" s="39" t="str">
        <x:v>No responde</x:v>
      </x:c>
      <x:c r="AB10" s="39" t="str">
        <x:v>No</x:v>
      </x:c>
      <x:c r="AC10" s="39" t="str">
        <x:v>No</x:v>
      </x:c>
      <x:c r="AD10" s="46" t="n">
        <x:f>IF(C10="COMERCIAL",IF(AC10="Sí",40,0)+IF(D10="Recurrente",15,0)+IF(S10="Alto",25,IF(S10="Medio",12,0))+IF(R10&gt;=30000,20,IF(R10&gt;=10000,12,IF(R10&gt;=5000,6,0)))+IF(N10&lt;=Metadatos!$B$13+1,25,0)+IF(AB10="Sí",15,0)+IF(AA10="No responde",-10,0),IF(Y10="Incumplido",40,0)+IF(AND(W10="Sí",X10=Metadatos!$B$13),35,0)+IF(V10&gt;=20000,25,IF(V10&gt;=10000,18,IF(V10&gt;=5000,10,0)))+IF(U10&gt;=15,25,IF(U10&gt;=6,20,IF(U10&gt;=3,10,0)))+IF(Z10&gt;=3,20,IF(Z10&gt;=2,10,0))+IF(AA10="Respondió",-10,0)+IF(AND(Y10="Vigente",X10&gt;Metadatos!$B$13),-10,0))</x:f>
        <x:v>10</x:v>
      </x:c>
      <x:c r="AE10" s="39" t="str">
        <x:f>IF(AD10&gt;=70,"P1",IF(AD10&gt;=50,"P2",IF(AD10&gt;=30,"P3","P4")))</x:f>
        <x:v>P4</x:v>
      </x:c>
      <x:c r="AF10" s="39" t="str">
        <x:v>Prospecto sin urgencia inmediata</x:v>
      </x:c>
      <x:c r="AG10" s="39" t="str">
        <x:v>Pendiente</x:v>
      </x:c>
      <x:c r="AH10" s="39" t="str">
        <x:v>https://www.google.com/maps?q=-5.211821,-80.646357</x:v>
      </x:c>
      <x:c r="AI10" s="39" t="str">
        <x:v>SINTÉTICO</x:v>
      </x:c>
    </x:row>
    <x:row r="11">
      <x:c r="A11" s="39" t="str">
        <x:v>CLI-010</x:v>
      </x:c>
      <x:c r="B11" s="39" t="str">
        <x:v>Cliente 010</x:v>
      </x:c>
      <x:c r="C11" s="39" t="str">
        <x:v>COBRANZA</x:v>
      </x:c>
      <x:c r="D11" s="39" t="str">
        <x:v>Deudor</x:v>
      </x:c>
      <x:c r="E11" s="39" t="str">
        <x:v>Cobranza de crédito</x:v>
      </x:c>
      <x:c r="F11" s="39" t="str">
        <x:v>Recuperación</x:v>
      </x:c>
      <x:c r="G11" s="40" t="n">
        <x:v>-5.205566</x:v>
      </x:c>
      <x:c r="H11" s="40" t="n">
        <x:v>-80.642466</x:v>
      </x:c>
      <x:c r="I11" s="39" t="str">
        <x:v>Piura</x:v>
      </x:c>
      <x:c r="J11" s="39" t="str">
        <x:v>Piura</x:v>
      </x:c>
      <x:c r="K11" s="39" t="str">
        <x:v>AG01</x:v>
      </x:c>
      <x:c r="L11" s="39" t="str">
        <x:v>Mibanco Piura Centro</x:v>
      </x:c>
      <x:c r="M11" s="41" t="n">
        <x:v>1.62</x:v>
      </x:c>
      <x:c r="N11" s="42" t="n">
        <x:v>46291</x:v>
      </x:c>
      <x:c r="O11" s="43" t="n">
        <x:v>0.4375</x:v>
      </x:c>
      <x:c r="P11" s="43" t="n">
        <x:v>0.5208333333333334</x:v>
      </x:c>
      <x:c r="Q11" s="39" t="n">
        <x:v>40</x:v>
      </x:c>
      <x:c r="R11" s="44" t="n">
        <x:v>0</x:v>
      </x:c>
      <x:c r="S11" s="39" t="str">
        <x:v>No aplica</x:v>
      </x:c>
      <x:c r="T11" s="45" t="n">
        <x:v>0</x:v>
      </x:c>
      <x:c r="U11" s="39" t="n">
        <x:v>15</x:v>
      </x:c>
      <x:c r="V11" s="44" t="n">
        <x:v>27100</x:v>
      </x:c>
      <x:c r="W11" s="39" t="str">
        <x:v>No</x:v>
      </x:c>
      <x:c r="X11" s="42"/>
      <x:c r="Y11" s="39" t="str">
        <x:v>Sin compromiso</x:v>
      </x:c>
      <x:c r="Z11" s="39" t="n">
        <x:v>1</x:v>
      </x:c>
      <x:c r="AA11" s="39" t="str">
        <x:v>Respondió</x:v>
      </x:c>
      <x:c r="AB11" s="39" t="str">
        <x:v>No</x:v>
      </x:c>
      <x:c r="AC11" s="39" t="str">
        <x:v>No</x:v>
      </x:c>
      <x:c r="AD11" s="46" t="n">
        <x:f>IF(C11="COMERCIAL",IF(AC11="Sí",40,0)+IF(D11="Recurrente",15,0)+IF(S11="Alto",25,IF(S11="Medio",12,0))+IF(R11&gt;=30000,20,IF(R11&gt;=10000,12,IF(R11&gt;=5000,6,0)))+IF(N11&lt;=Metadatos!$B$13+1,25,0)+IF(AB11="Sí",15,0)+IF(AA11="No responde",-10,0),IF(Y11="Incumplido",40,0)+IF(AND(W11="Sí",X11=Metadatos!$B$13),35,0)+IF(V11&gt;=20000,25,IF(V11&gt;=10000,18,IF(V11&gt;=5000,10,0)))+IF(U11&gt;=15,25,IF(U11&gt;=6,20,IF(U11&gt;=3,10,0)))+IF(Z11&gt;=3,20,IF(Z11&gt;=2,10,0))+IF(AA11="Respondió",-10,0)+IF(AND(Y11="Vigente",X11&gt;Metadatos!$B$13),-10,0))</x:f>
        <x:v>40</x:v>
      </x:c>
      <x:c r="AE11" s="39" t="str">
        <x:f>IF(AD11&gt;=70,"P1",IF(AD11&gt;=50,"P2",IF(AD11&gt;=30,"P3","P4")))</x:f>
        <x:v>P3</x:v>
      </x:c>
      <x:c r="AF11" s="39" t="str">
        <x:v>Mora elevada y saldo alto</x:v>
      </x:c>
      <x:c r="AG11" s="39" t="str">
        <x:v>Pendiente</x:v>
      </x:c>
      <x:c r="AH11" s="39" t="str">
        <x:v>https://www.google.com/maps?q=-5.205566,-80.642466</x:v>
      </x:c>
      <x:c r="AI11" s="39" t="str">
        <x:v>SINTÉTICO</x:v>
      </x:c>
    </x:row>
    <x:row r="12">
      <x:c r="A12" s="39" t="str">
        <x:v>CLI-011</x:v>
      </x:c>
      <x:c r="B12" s="39" t="str">
        <x:v>Cliente 011</x:v>
      </x:c>
      <x:c r="C12" s="39" t="str">
        <x:v>COMERCIAL</x:v>
      </x:c>
      <x:c r="D12" s="39" t="str">
        <x:v>Recurrente</x:v>
      </x:c>
      <x:c r="E12" s="39" t="str">
        <x:v>Ahorro</x:v>
      </x:c>
      <x:c r="F12" s="39" t="str">
        <x:v>Evaluación</x:v>
      </x:c>
      <x:c r="G12" s="40" t="n">
        <x:v>-5.175132</x:v>
      </x:c>
      <x:c r="H12" s="40" t="n">
        <x:v>-80.632588</x:v>
      </x:c>
      <x:c r="I12" s="39" t="str">
        <x:v>Piura</x:v>
      </x:c>
      <x:c r="J12" s="39" t="str">
        <x:v>Piura</x:v>
      </x:c>
      <x:c r="K12" s="39" t="str">
        <x:v>AG01</x:v>
      </x:c>
      <x:c r="L12" s="39" t="str">
        <x:v>Mibanco Piura Centro</x:v>
      </x:c>
      <x:c r="M12" s="41" t="n">
        <x:v>2.17</x:v>
      </x:c>
      <x:c r="N12" s="42" t="n">
        <x:v>46293</x:v>
      </x:c>
      <x:c r="O12" s="43" t="n">
        <x:v>0.3958333333333333</x:v>
      </x:c>
      <x:c r="P12" s="43" t="n">
        <x:v>0.4375</x:v>
      </x:c>
      <x:c r="Q12" s="39" t="n">
        <x:v>60</x:v>
      </x:c>
      <x:c r="R12" s="44" t="n">
        <x:v>3600</x:v>
      </x:c>
      <x:c r="S12" s="39" t="str">
        <x:v>Alto</x:v>
      </x:c>
      <x:c r="T12" s="45" t="n">
        <x:v>0.73</x:v>
      </x:c>
      <x:c r="U12" s="39" t="n">
        <x:v>0</x:v>
      </x:c>
      <x:c r="V12" s="44" t="n">
        <x:v>0</x:v>
      </x:c>
      <x:c r="W12" s="39" t="str">
        <x:v>No</x:v>
      </x:c>
      <x:c r="X12" s="42"/>
      <x:c r="Y12" s="39" t="str">
        <x:v>No aplica</x:v>
      </x:c>
      <x:c r="Z12" s="39" t="n">
        <x:v>0</x:v>
      </x:c>
      <x:c r="AA12" s="39" t="str">
        <x:v>Respondió</x:v>
      </x:c>
      <x:c r="AB12" s="39" t="str">
        <x:v>Sí</x:v>
      </x:c>
      <x:c r="AC12" s="39" t="str">
        <x:v>No</x:v>
      </x:c>
      <x:c r="AD12" s="46" t="n">
        <x:f>IF(C12="COMERCIAL",IF(AC12="Sí",40,0)+IF(D12="Recurrente",15,0)+IF(S12="Alto",25,IF(S12="Medio",12,0))+IF(R12&gt;=30000,20,IF(R12&gt;=10000,12,IF(R12&gt;=5000,6,0)))+IF(N12&lt;=Metadatos!$B$13+1,25,0)+IF(AB12="Sí",15,0)+IF(AA12="No responde",-10,0),IF(Y12="Incumplido",40,0)+IF(AND(W12="Sí",X12=Metadatos!$B$13),35,0)+IF(V12&gt;=20000,25,IF(V12&gt;=10000,18,IF(V12&gt;=5000,10,0)))+IF(U12&gt;=15,25,IF(U12&gt;=6,20,IF(U12&gt;=3,10,0)))+IF(Z12&gt;=3,20,IF(Z12&gt;=2,10,0))+IF(AA12="Respondió",-10,0)+IF(AND(Y12="Vigente",X12&gt;Metadatos!$B$13),-10,0))</x:f>
        <x:v>55</x:v>
      </x:c>
      <x:c r="AE12" s="39" t="str">
        <x:f>IF(AD12&gt;=70,"P1",IF(AD12&gt;=50,"P2",IF(AD12&gt;=30,"P3","P4")))</x:f>
        <x:v>P2</x:v>
      </x:c>
      <x:c r="AF12" s="39" t="str">
        <x:v>Cliente recurrente con oportunidad activa</x:v>
      </x:c>
      <x:c r="AG12" s="39" t="str">
        <x:v>Pendiente</x:v>
      </x:c>
      <x:c r="AH12" s="39" t="str">
        <x:v>https://www.google.com/maps?q=-5.175132,-80.632588</x:v>
      </x:c>
      <x:c r="AI12" s="39" t="str">
        <x:v>SINTÉTICO</x:v>
      </x:c>
    </x:row>
    <x:row r="13">
      <x:c r="A13" s="39" t="str">
        <x:v>CLI-012</x:v>
      </x:c>
      <x:c r="B13" s="39" t="str">
        <x:v>Cliente 012</x:v>
      </x:c>
      <x:c r="C13" s="39" t="str">
        <x:v>COBRANZA</x:v>
      </x:c>
      <x:c r="D13" s="39" t="str">
        <x:v>Deudor</x:v>
      </x:c>
      <x:c r="E13" s="39" t="str">
        <x:v>Cobranza de crédito</x:v>
      </x:c>
      <x:c r="F13" s="39" t="str">
        <x:v>Recuperación</x:v>
      </x:c>
      <x:c r="G13" s="40" t="n">
        <x:v>-5.192188</x:v>
      </x:c>
      <x:c r="H13" s="40" t="n">
        <x:v>-80.606077</x:v>
      </x:c>
      <x:c r="I13" s="39" t="str">
        <x:v>Piura</x:v>
      </x:c>
      <x:c r="J13" s="39" t="str">
        <x:v>Piura</x:v>
      </x:c>
      <x:c r="K13" s="39" t="str">
        <x:v>AG01</x:v>
      </x:c>
      <x:c r="L13" s="39" t="str">
        <x:v>Mibanco Piura Centro</x:v>
      </x:c>
      <x:c r="M13" s="41" t="n">
        <x:v>2.98</x:v>
      </x:c>
      <x:c r="N13" s="42" t="n">
        <x:v>46291</x:v>
      </x:c>
      <x:c r="O13" s="43" t="n">
        <x:v>0.4375</x:v>
      </x:c>
      <x:c r="P13" s="43" t="n">
        <x:v>0.5</x:v>
      </x:c>
      <x:c r="Q13" s="39" t="n">
        <x:v>30</x:v>
      </x:c>
      <x:c r="R13" s="44" t="n">
        <x:v>0</x:v>
      </x:c>
      <x:c r="S13" s="39" t="str">
        <x:v>No aplica</x:v>
      </x:c>
      <x:c r="T13" s="45" t="n">
        <x:v>0</x:v>
      </x:c>
      <x:c r="U13" s="39" t="n">
        <x:v>15</x:v>
      </x:c>
      <x:c r="V13" s="44" t="n">
        <x:v>29900</x:v>
      </x:c>
      <x:c r="W13" s="39" t="str">
        <x:v>No</x:v>
      </x:c>
      <x:c r="X13" s="42"/>
      <x:c r="Y13" s="39" t="str">
        <x:v>Sin compromiso</x:v>
      </x:c>
      <x:c r="Z13" s="39" t="n">
        <x:v>3</x:v>
      </x:c>
      <x:c r="AA13" s="39" t="str">
        <x:v>Respondió</x:v>
      </x:c>
      <x:c r="AB13" s="39" t="str">
        <x:v>No</x:v>
      </x:c>
      <x:c r="AC13" s="39" t="str">
        <x:v>No</x:v>
      </x:c>
      <x:c r="AD13" s="46" t="n">
        <x:f>IF(C13="COMERCIAL",IF(AC13="Sí",40,0)+IF(D13="Recurrente",15,0)+IF(S13="Alto",25,IF(S13="Medio",12,0))+IF(R13&gt;=30000,20,IF(R13&gt;=10000,12,IF(R13&gt;=5000,6,0)))+IF(N13&lt;=Metadatos!$B$13+1,25,0)+IF(AB13="Sí",15,0)+IF(AA13="No responde",-10,0),IF(Y13="Incumplido",40,0)+IF(AND(W13="Sí",X13=Metadatos!$B$13),35,0)+IF(V13&gt;=20000,25,IF(V13&gt;=10000,18,IF(V13&gt;=5000,10,0)))+IF(U13&gt;=15,25,IF(U13&gt;=6,20,IF(U13&gt;=3,10,0)))+IF(Z13&gt;=3,20,IF(Z13&gt;=2,10,0))+IF(AA13="Respondió",-10,0)+IF(AND(Y13="Vigente",X13&gt;Metadatos!$B$13),-10,0))</x:f>
        <x:v>60</x:v>
      </x:c>
      <x:c r="AE13" s="39" t="str">
        <x:f>IF(AD13&gt;=70,"P1",IF(AD13&gt;=50,"P2",IF(AD13&gt;=30,"P3","P4")))</x:f>
        <x:v>P2</x:v>
      </x:c>
      <x:c r="AF13" s="39" t="str">
        <x:v>Mora elevada y saldo alto</x:v>
      </x:c>
      <x:c r="AG13" s="39" t="str">
        <x:v>Pendiente</x:v>
      </x:c>
      <x:c r="AH13" s="39" t="str">
        <x:v>https://www.google.com/maps?q=-5.192188,-80.606077</x:v>
      </x:c>
      <x:c r="AI13" s="39" t="str">
        <x:v>SINTÉTICO</x:v>
      </x:c>
    </x:row>
    <x:row r="14">
      <x:c r="A14" s="39" t="str">
        <x:v>CLI-013</x:v>
      </x:c>
      <x:c r="B14" s="39" t="str">
        <x:v>Cliente 013</x:v>
      </x:c>
      <x:c r="C14" s="39" t="str">
        <x:v>COMERCIAL</x:v>
      </x:c>
      <x:c r="D14" s="39" t="str">
        <x:v>Recurrente</x:v>
      </x:c>
      <x:c r="E14" s="39" t="str">
        <x:v>Capital de trabajo</x:v>
      </x:c>
      <x:c r="F14" s="39" t="str">
        <x:v>Negociación</x:v>
      </x:c>
      <x:c r="G14" s="40" t="n">
        <x:v>-5.207552</x:v>
      </x:c>
      <x:c r="H14" s="40" t="n">
        <x:v>-80.647689</x:v>
      </x:c>
      <x:c r="I14" s="39" t="str">
        <x:v>Piura</x:v>
      </x:c>
      <x:c r="J14" s="39" t="str">
        <x:v>Piura</x:v>
      </x:c>
      <x:c r="K14" s="39" t="str">
        <x:v>AG01</x:v>
      </x:c>
      <x:c r="L14" s="39" t="str">
        <x:v>Mibanco Piura Centro</x:v>
      </x:c>
      <x:c r="M14" s="41" t="n">
        <x:v>2.19</x:v>
      </x:c>
      <x:c r="N14" s="42" t="n">
        <x:v>46294</x:v>
      </x:c>
      <x:c r="O14" s="43" t="n">
        <x:v>0.3958333333333333</x:v>
      </x:c>
      <x:c r="P14" s="43" t="n">
        <x:v>0.4583333333333333</x:v>
      </x:c>
      <x:c r="Q14" s="39" t="n">
        <x:v>35</x:v>
      </x:c>
      <x:c r="R14" s="44" t="n">
        <x:v>12900</x:v>
      </x:c>
      <x:c r="S14" s="39" t="str">
        <x:v>Medio</x:v>
      </x:c>
      <x:c r="T14" s="45" t="n">
        <x:v>0.45</x:v>
      </x:c>
      <x:c r="U14" s="39" t="n">
        <x:v>0</x:v>
      </x:c>
      <x:c r="V14" s="44" t="n">
        <x:v>0</x:v>
      </x:c>
      <x:c r="W14" s="39" t="str">
        <x:v>No</x:v>
      </x:c>
      <x:c r="X14" s="42"/>
      <x:c r="Y14" s="39" t="str">
        <x:v>No aplica</x:v>
      </x:c>
      <x:c r="Z14" s="39" t="n">
        <x:v>0</x:v>
      </x:c>
      <x:c r="AA14" s="39" t="str">
        <x:v>Respondió</x:v>
      </x:c>
      <x:c r="AB14" s="39" t="str">
        <x:v>Sí</x:v>
      </x:c>
      <x:c r="AC14" s="39" t="str">
        <x:v>No</x:v>
      </x:c>
      <x:c r="AD14" s="46" t="n">
        <x:f>IF(C14="COMERCIAL",IF(AC14="Sí",40,0)+IF(D14="Recurrente",15,0)+IF(S14="Alto",25,IF(S14="Medio",12,0))+IF(R14&gt;=30000,20,IF(R14&gt;=10000,12,IF(R14&gt;=5000,6,0)))+IF(N14&lt;=Metadatos!$B$13+1,25,0)+IF(AB14="Sí",15,0)+IF(AA14="No responde",-10,0),IF(Y14="Incumplido",40,0)+IF(AND(W14="Sí",X14=Metadatos!$B$13),35,0)+IF(V14&gt;=20000,25,IF(V14&gt;=10000,18,IF(V14&gt;=5000,10,0)))+IF(U14&gt;=15,25,IF(U14&gt;=6,20,IF(U14&gt;=3,10,0)))+IF(Z14&gt;=3,20,IF(Z14&gt;=2,10,0))+IF(AA14="Respondió",-10,0)+IF(AND(Y14="Vigente",X14&gt;Metadatos!$B$13),-10,0))</x:f>
        <x:v>54</x:v>
      </x:c>
      <x:c r="AE14" s="39" t="str">
        <x:f>IF(AD14&gt;=70,"P1",IF(AD14&gt;=50,"P2",IF(AD14&gt;=30,"P3","P4")))</x:f>
        <x:v>P2</x:v>
      </x:c>
      <x:c r="AF14" s="39" t="str">
        <x:v>Cliente recurrente con oportunidad activa</x:v>
      </x:c>
      <x:c r="AG14" s="39" t="str">
        <x:v>Pendiente</x:v>
      </x:c>
      <x:c r="AH14" s="39" t="str">
        <x:v>https://www.google.com/maps?q=-5.207552,-80.647689</x:v>
      </x:c>
      <x:c r="AI14" s="39" t="str">
        <x:v>SINTÉTICO</x:v>
      </x:c>
    </x:row>
    <x:row r="15">
      <x:c r="A15" s="39" t="str">
        <x:v>CLI-014</x:v>
      </x:c>
      <x:c r="B15" s="39" t="str">
        <x:v>Cliente 014</x:v>
      </x:c>
      <x:c r="C15" s="39" t="str">
        <x:v>COBRANZA</x:v>
      </x:c>
      <x:c r="D15" s="39" t="str">
        <x:v>Deudor</x:v>
      </x:c>
      <x:c r="E15" s="39" t="str">
        <x:v>Cobranza de crédito</x:v>
      </x:c>
      <x:c r="F15" s="39" t="str">
        <x:v>Recuperación</x:v>
      </x:c>
      <x:c r="G15" s="40" t="n">
        <x:v>-5.179689</x:v>
      </x:c>
      <x:c r="H15" s="40" t="n">
        <x:v>-80.61021</x:v>
      </x:c>
      <x:c r="I15" s="39" t="str">
        <x:v>Piura</x:v>
      </x:c>
      <x:c r="J15" s="39" t="str">
        <x:v>Piura</x:v>
      </x:c>
      <x:c r="K15" s="39" t="str">
        <x:v>AG01</x:v>
      </x:c>
      <x:c r="L15" s="39" t="str">
        <x:v>Mibanco Piura Centro</x:v>
      </x:c>
      <x:c r="M15" s="41" t="n">
        <x:v>3.01</x:v>
      </x:c>
      <x:c r="N15" s="42" t="n">
        <x:v>46291</x:v>
      </x:c>
      <x:c r="O15" s="43" t="n">
        <x:v>0.4791666666666667</x:v>
      </x:c>
      <x:c r="P15" s="43" t="n">
        <x:v>0.5625</x:v>
      </x:c>
      <x:c r="Q15" s="39" t="n">
        <x:v>40</x:v>
      </x:c>
      <x:c r="R15" s="44" t="n">
        <x:v>0</x:v>
      </x:c>
      <x:c r="S15" s="39" t="str">
        <x:v>No aplica</x:v>
      </x:c>
      <x:c r="T15" s="45" t="n">
        <x:v>0</x:v>
      </x:c>
      <x:c r="U15" s="39" t="n">
        <x:v>4</x:v>
      </x:c>
      <x:c r="V15" s="44" t="n">
        <x:v>3500</x:v>
      </x:c>
      <x:c r="W15" s="39" t="str">
        <x:v>Sí</x:v>
      </x:c>
      <x:c r="X15" s="42" t="n">
        <x:v>46291</x:v>
      </x:c>
      <x:c r="Y15" s="39" t="str">
        <x:v>Vigente</x:v>
      </x:c>
      <x:c r="Z15" s="39" t="n">
        <x:v>1</x:v>
      </x:c>
      <x:c r="AA15" s="39" t="str">
        <x:v>No responde</x:v>
      </x:c>
      <x:c r="AB15" s="39" t="str">
        <x:v>No</x:v>
      </x:c>
      <x:c r="AC15" s="39" t="str">
        <x:v>Sí</x:v>
      </x:c>
      <x:c r="AD15" s="46" t="n">
        <x:f>IF(C15="COMERCIAL",IF(AC15="Sí",40,0)+IF(D15="Recurrente",15,0)+IF(S15="Alto",25,IF(S15="Medio",12,0))+IF(R15&gt;=30000,20,IF(R15&gt;=10000,12,IF(R15&gt;=5000,6,0)))+IF(N15&lt;=Metadatos!$B$13+1,25,0)+IF(AB15="Sí",15,0)+IF(AA15="No responde",-10,0),IF(Y15="Incumplido",40,0)+IF(AND(W15="Sí",X15=Metadatos!$B$13),35,0)+IF(V15&gt;=20000,25,IF(V15&gt;=10000,18,IF(V15&gt;=5000,10,0)))+IF(U15&gt;=15,25,IF(U15&gt;=6,20,IF(U15&gt;=3,10,0)))+IF(Z15&gt;=3,20,IF(Z15&gt;=2,10,0))+IF(AA15="Respondió",-10,0)+IF(AND(Y15="Vigente",X15&gt;Metadatos!$B$13),-10,0))</x:f>
        <x:v>45</x:v>
      </x:c>
      <x:c r="AE15" s="39" t="str">
        <x:f>IF(AD15&gt;=70,"P1",IF(AD15&gt;=50,"P2",IF(AD15&gt;=30,"P3","P4")))</x:f>
        <x:v>P3</x:v>
      </x:c>
      <x:c r="AF15" s="39" t="str">
        <x:v>Compromiso de pago con vencimiento hoy</x:v>
      </x:c>
      <x:c r="AG15" s="39" t="str">
        <x:v>Pendiente</x:v>
      </x:c>
      <x:c r="AH15" s="39" t="str">
        <x:v>https://www.google.com/maps?q=-5.179689,-80.610210</x:v>
      </x:c>
      <x:c r="AI15" s="39" t="str">
        <x:v>SINTÉTICO</x:v>
      </x:c>
    </x:row>
    <x:row r="16">
      <x:c r="A16" s="39" t="str">
        <x:v>CLI-015</x:v>
      </x:c>
      <x:c r="B16" s="39" t="str">
        <x:v>Cliente 015</x:v>
      </x:c>
      <x:c r="C16" s="39" t="str">
        <x:v>COMERCIAL</x:v>
      </x:c>
      <x:c r="D16" s="39" t="str">
        <x:v>Nuevo</x:v>
      </x:c>
      <x:c r="E16" s="39" t="str">
        <x:v>Crédito personal</x:v>
      </x:c>
      <x:c r="F16" s="39" t="str">
        <x:v>Cierre</x:v>
      </x:c>
      <x:c r="G16" s="40" t="n">
        <x:v>-5.168758</x:v>
      </x:c>
      <x:c r="H16" s="40" t="n">
        <x:v>-80.644458</x:v>
      </x:c>
      <x:c r="I16" s="39" t="str">
        <x:v>Piura</x:v>
      </x:c>
      <x:c r="J16" s="39" t="str">
        <x:v>Piura</x:v>
      </x:c>
      <x:c r="K16" s="39" t="str">
        <x:v>AG01</x:v>
      </x:c>
      <x:c r="L16" s="39" t="str">
        <x:v>Mibanco Piura Centro</x:v>
      </x:c>
      <x:c r="M16" s="41" t="n">
        <x:v>3.16</x:v>
      </x:c>
      <x:c r="N16" s="42" t="n">
        <x:v>46292</x:v>
      </x:c>
      <x:c r="O16" s="43" t="n">
        <x:v>0.3958333333333333</x:v>
      </x:c>
      <x:c r="P16" s="43" t="n">
        <x:v>0.4791666666666667</x:v>
      </x:c>
      <x:c r="Q16" s="39" t="n">
        <x:v>30</x:v>
      </x:c>
      <x:c r="R16" s="44" t="n">
        <x:v>49400</x:v>
      </x:c>
      <x:c r="S16" s="39" t="str">
        <x:v>Alto</x:v>
      </x:c>
      <x:c r="T16" s="45" t="n">
        <x:v>0.69</x:v>
      </x:c>
      <x:c r="U16" s="39" t="n">
        <x:v>0</x:v>
      </x:c>
      <x:c r="V16" s="44" t="n">
        <x:v>0</x:v>
      </x:c>
      <x:c r="W16" s="39" t="str">
        <x:v>No</x:v>
      </x:c>
      <x:c r="X16" s="42"/>
      <x:c r="Y16" s="39" t="str">
        <x:v>No aplica</x:v>
      </x:c>
      <x:c r="Z16" s="39" t="n">
        <x:v>0</x:v>
      </x:c>
      <x:c r="AA16" s="39" t="str">
        <x:v>Respondió</x:v>
      </x:c>
      <x:c r="AB16" s="39" t="str">
        <x:v>Sí</x:v>
      </x:c>
      <x:c r="AC16" s="39" t="str">
        <x:v>No</x:v>
      </x:c>
      <x:c r="AD16" s="46" t="n">
        <x:f>IF(C16="COMERCIAL",IF(AC16="Sí",40,0)+IF(D16="Recurrente",15,0)+IF(S16="Alto",25,IF(S16="Medio",12,0))+IF(R16&gt;=30000,20,IF(R16&gt;=10000,12,IF(R16&gt;=5000,6,0)))+IF(N16&lt;=Metadatos!$B$13+1,25,0)+IF(AB16="Sí",15,0)+IF(AA16="No responde",-10,0),IF(Y16="Incumplido",40,0)+IF(AND(W16="Sí",X16=Metadatos!$B$13),35,0)+IF(V16&gt;=20000,25,IF(V16&gt;=10000,18,IF(V16&gt;=5000,10,0)))+IF(U16&gt;=15,25,IF(U16&gt;=6,20,IF(U16&gt;=3,10,0)))+IF(Z16&gt;=3,20,IF(Z16&gt;=2,10,0))+IF(AA16="Respondió",-10,0)+IF(AND(Y16="Vigente",X16&gt;Metadatos!$B$13),-10,0))</x:f>
        <x:v>85</x:v>
      </x:c>
      <x:c r="AE16" s="39" t="str">
        <x:f>IF(AD16&gt;=70,"P1",IF(AD16&gt;=50,"P2",IF(AD16&gt;=30,"P3","P4")))</x:f>
        <x:v>P1</x:v>
      </x:c>
      <x:c r="AF16" s="39" t="str">
        <x:v>Interés alto y monto comercial alto</x:v>
      </x:c>
      <x:c r="AG16" s="39" t="str">
        <x:v>Programada</x:v>
      </x:c>
      <x:c r="AH16" s="39" t="str">
        <x:v>https://www.google.com/maps?q=-5.168758,-80.644458</x:v>
      </x:c>
      <x:c r="AI16" s="39" t="str">
        <x:v>SINTÉTICO</x:v>
      </x:c>
    </x:row>
    <x:row r="17">
      <x:c r="A17" s="39" t="str">
        <x:v>CLI-016</x:v>
      </x:c>
      <x:c r="B17" s="39" t="str">
        <x:v>Cliente 016</x:v>
      </x:c>
      <x:c r="C17" s="39" t="str">
        <x:v>COBRANZA</x:v>
      </x:c>
      <x:c r="D17" s="39" t="str">
        <x:v>Deudor</x:v>
      </x:c>
      <x:c r="E17" s="39" t="str">
        <x:v>Cobranza de crédito</x:v>
      </x:c>
      <x:c r="F17" s="39" t="str">
        <x:v>Recuperación</x:v>
      </x:c>
      <x:c r="G17" s="40" t="n">
        <x:v>-5.192253</x:v>
      </x:c>
      <x:c r="H17" s="40" t="n">
        <x:v>-80.614084</x:v>
      </x:c>
      <x:c r="I17" s="39" t="str">
        <x:v>Piura</x:v>
      </x:c>
      <x:c r="J17" s="39" t="str">
        <x:v>Piura</x:v>
      </x:c>
      <x:c r="K17" s="39" t="str">
        <x:v>AG01</x:v>
      </x:c>
      <x:c r="L17" s="39" t="str">
        <x:v>Mibanco Piura Centro</x:v>
      </x:c>
      <x:c r="M17" s="41" t="n">
        <x:v>2.09</x:v>
      </x:c>
      <x:c r="N17" s="42" t="n">
        <x:v>46291</x:v>
      </x:c>
      <x:c r="O17" s="43" t="n">
        <x:v>0.3958333333333333</x:v>
      </x:c>
      <x:c r="P17" s="43" t="n">
        <x:v>0.4791666666666667</x:v>
      </x:c>
      <x:c r="Q17" s="39" t="n">
        <x:v>60</x:v>
      </x:c>
      <x:c r="R17" s="44" t="n">
        <x:v>0</x:v>
      </x:c>
      <x:c r="S17" s="39" t="str">
        <x:v>No aplica</x:v>
      </x:c>
      <x:c r="T17" s="45" t="n">
        <x:v>0</x:v>
      </x:c>
      <x:c r="U17" s="39" t="n">
        <x:v>15</x:v>
      </x:c>
      <x:c r="V17" s="44" t="n">
        <x:v>13200</x:v>
      </x:c>
      <x:c r="W17" s="39" t="str">
        <x:v>Sí</x:v>
      </x:c>
      <x:c r="X17" s="42" t="n">
        <x:v>46291</x:v>
      </x:c>
      <x:c r="Y17" s="39" t="str">
        <x:v>Vigente</x:v>
      </x:c>
      <x:c r="Z17" s="39" t="n">
        <x:v>1</x:v>
      </x:c>
      <x:c r="AA17" s="39" t="str">
        <x:v>Respondió</x:v>
      </x:c>
      <x:c r="AB17" s="39" t="str">
        <x:v>No</x:v>
      </x:c>
      <x:c r="AC17" s="39" t="str">
        <x:v>Sí</x:v>
      </x:c>
      <x:c r="AD17" s="46" t="n">
        <x:f>IF(C17="COMERCIAL",IF(AC17="Sí",40,0)+IF(D17="Recurrente",15,0)+IF(S17="Alto",25,IF(S17="Medio",12,0))+IF(R17&gt;=30000,20,IF(R17&gt;=10000,12,IF(R17&gt;=5000,6,0)))+IF(N17&lt;=Metadatos!$B$13+1,25,0)+IF(AB17="Sí",15,0)+IF(AA17="No responde",-10,0),IF(Y17="Incumplido",40,0)+IF(AND(W17="Sí",X17=Metadatos!$B$13),35,0)+IF(V17&gt;=20000,25,IF(V17&gt;=10000,18,IF(V17&gt;=5000,10,0)))+IF(U17&gt;=15,25,IF(U17&gt;=6,20,IF(U17&gt;=3,10,0)))+IF(Z17&gt;=3,20,IF(Z17&gt;=2,10,0))+IF(AA17="Respondió",-10,0)+IF(AND(Y17="Vigente",X17&gt;Metadatos!$B$13),-10,0))</x:f>
        <x:v>68</x:v>
      </x:c>
      <x:c r="AE17" s="39" t="str">
        <x:f>IF(AD17&gt;=70,"P1",IF(AD17&gt;=50,"P2",IF(AD17&gt;=30,"P3","P4")))</x:f>
        <x:v>P2</x:v>
      </x:c>
      <x:c r="AF17" s="39" t="str">
        <x:v>Compromiso de pago con vencimiento hoy</x:v>
      </x:c>
      <x:c r="AG17" s="39" t="str">
        <x:v>Pendiente</x:v>
      </x:c>
      <x:c r="AH17" s="39" t="str">
        <x:v>https://www.google.com/maps?q=-5.192253,-80.614084</x:v>
      </x:c>
      <x:c r="AI17" s="39" t="str">
        <x:v>SINTÉTICO</x:v>
      </x:c>
    </x:row>
    <x:row r="18">
      <x:c r="A18" s="39" t="str">
        <x:v>CLI-017</x:v>
      </x:c>
      <x:c r="B18" s="39" t="str">
        <x:v>Cliente 017</x:v>
      </x:c>
      <x:c r="C18" s="39" t="str">
        <x:v>COMERCIAL</x:v>
      </x:c>
      <x:c r="D18" s="39" t="str">
        <x:v>Nuevo</x:v>
      </x:c>
      <x:c r="E18" s="39" t="str">
        <x:v>Crédito personal</x:v>
      </x:c>
      <x:c r="F18" s="39" t="str">
        <x:v>Negociación</x:v>
      </x:c>
      <x:c r="G18" s="40" t="n">
        <x:v>-5.185194</x:v>
      </x:c>
      <x:c r="H18" s="40" t="n">
        <x:v>-80.637786</x:v>
      </x:c>
      <x:c r="I18" s="39" t="str">
        <x:v>Piura</x:v>
      </x:c>
      <x:c r="J18" s="39" t="str">
        <x:v>Piura</x:v>
      </x:c>
      <x:c r="K18" s="39" t="str">
        <x:v>AG01</x:v>
      </x:c>
      <x:c r="L18" s="39" t="str">
        <x:v>Mibanco Piura Centro</x:v>
      </x:c>
      <x:c r="M18" s="41" t="n">
        <x:v>1.19</x:v>
      </x:c>
      <x:c r="N18" s="42" t="n">
        <x:v>46293</x:v>
      </x:c>
      <x:c r="O18" s="43" t="n">
        <x:v>0.5208333333333334</x:v>
      </x:c>
      <x:c r="P18" s="43" t="n">
        <x:v>0.5833333333333334</x:v>
      </x:c>
      <x:c r="Q18" s="39" t="n">
        <x:v>50</x:v>
      </x:c>
      <x:c r="R18" s="44" t="n">
        <x:v>50000</x:v>
      </x:c>
      <x:c r="S18" s="39" t="str">
        <x:v>Medio</x:v>
      </x:c>
      <x:c r="T18" s="45" t="n">
        <x:v>0.53</x:v>
      </x:c>
      <x:c r="U18" s="39" t="n">
        <x:v>0</x:v>
      </x:c>
      <x:c r="V18" s="44" t="n">
        <x:v>0</x:v>
      </x:c>
      <x:c r="W18" s="39" t="str">
        <x:v>No</x:v>
      </x:c>
      <x:c r="X18" s="42"/>
      <x:c r="Y18" s="39" t="str">
        <x:v>No aplica</x:v>
      </x:c>
      <x:c r="Z18" s="39" t="n">
        <x:v>0</x:v>
      </x:c>
      <x:c r="AA18" s="39" t="str">
        <x:v>No responde</x:v>
      </x:c>
      <x:c r="AB18" s="39" t="str">
        <x:v>No</x:v>
      </x:c>
      <x:c r="AC18" s="39" t="str">
        <x:v>No</x:v>
      </x:c>
      <x:c r="AD18" s="46" t="n">
        <x:f>IF(C18="COMERCIAL",IF(AC18="Sí",40,0)+IF(D18="Recurrente",15,0)+IF(S18="Alto",25,IF(S18="Medio",12,0))+IF(R18&gt;=30000,20,IF(R18&gt;=10000,12,IF(R18&gt;=5000,6,0)))+IF(N18&lt;=Metadatos!$B$13+1,25,0)+IF(AB18="Sí",15,0)+IF(AA18="No responde",-10,0),IF(Y18="Incumplido",40,0)+IF(AND(W18="Sí",X18=Metadatos!$B$13),35,0)+IF(V18&gt;=20000,25,IF(V18&gt;=10000,18,IF(V18&gt;=5000,10,0)))+IF(U18&gt;=15,25,IF(U18&gt;=6,20,IF(U18&gt;=3,10,0)))+IF(Z18&gt;=3,20,IF(Z18&gt;=2,10,0))+IF(AA18="Respondió",-10,0)+IF(AND(Y18="Vigente",X18&gt;Metadatos!$B$13),-10,0))</x:f>
        <x:v>22</x:v>
      </x:c>
      <x:c r="AE18" s="39" t="str">
        <x:f>IF(AD18&gt;=70,"P1",IF(AD18&gt;=50,"P2",IF(AD18&gt;=30,"P3","P4")))</x:f>
        <x:v>P4</x:v>
      </x:c>
      <x:c r="AF18" s="39" t="str">
        <x:v>Interés medio; requiere seguimiento</x:v>
      </x:c>
      <x:c r="AG18" s="39" t="str">
        <x:v>Pendiente</x:v>
      </x:c>
      <x:c r="AH18" s="39" t="str">
        <x:v>https://www.google.com/maps?q=-5.185194,-80.637786</x:v>
      </x:c>
      <x:c r="AI18" s="39" t="str">
        <x:v>SINTÉTICO</x:v>
      </x:c>
    </x:row>
    <x:row r="19">
      <x:c r="A19" s="39" t="str">
        <x:v>CLI-018</x:v>
      </x:c>
      <x:c r="B19" s="39" t="str">
        <x:v>Cliente 018</x:v>
      </x:c>
      <x:c r="C19" s="39" t="str">
        <x:v>COBRANZA</x:v>
      </x:c>
      <x:c r="D19" s="39" t="str">
        <x:v>Deudor</x:v>
      </x:c>
      <x:c r="E19" s="39" t="str">
        <x:v>Cobranza de crédito</x:v>
      </x:c>
      <x:c r="F19" s="39" t="str">
        <x:v>Recuperación</x:v>
      </x:c>
      <x:c r="G19" s="40" t="n">
        <x:v>-5.20513</x:v>
      </x:c>
      <x:c r="H19" s="40" t="n">
        <x:v>-80.647452</x:v>
      </x:c>
      <x:c r="I19" s="39" t="str">
        <x:v>Piura</x:v>
      </x:c>
      <x:c r="J19" s="39" t="str">
        <x:v>Piura</x:v>
      </x:c>
      <x:c r="K19" s="39" t="str">
        <x:v>AG01</x:v>
      </x:c>
      <x:c r="L19" s="39" t="str">
        <x:v>Mibanco Piura Centro</x:v>
      </x:c>
      <x:c r="M19" s="41" t="n">
        <x:v>2</x:v>
      </x:c>
      <x:c r="N19" s="42" t="n">
        <x:v>46291</x:v>
      </x:c>
      <x:c r="O19" s="43" t="n">
        <x:v>0.5625</x:v>
      </x:c>
      <x:c r="P19" s="43" t="n">
        <x:v>0.625</x:v>
      </x:c>
      <x:c r="Q19" s="39" t="n">
        <x:v>40</x:v>
      </x:c>
      <x:c r="R19" s="44" t="n">
        <x:v>0</x:v>
      </x:c>
      <x:c r="S19" s="39" t="str">
        <x:v>No aplica</x:v>
      </x:c>
      <x:c r="T19" s="45" t="n">
        <x:v>0</x:v>
      </x:c>
      <x:c r="U19" s="39" t="n">
        <x:v>6</x:v>
      </x:c>
      <x:c r="V19" s="44" t="n">
        <x:v>25100</x:v>
      </x:c>
      <x:c r="W19" s="39" t="str">
        <x:v>Sí</x:v>
      </x:c>
      <x:c r="X19" s="42" t="n">
        <x:v>46288</x:v>
      </x:c>
      <x:c r="Y19" s="39" t="str">
        <x:v>Incumplido</x:v>
      </x:c>
      <x:c r="Z19" s="39" t="n">
        <x:v>3</x:v>
      </x:c>
      <x:c r="AA19" s="39" t="str">
        <x:v>No responde</x:v>
      </x:c>
      <x:c r="AB19" s="39" t="str">
        <x:v>No</x:v>
      </x:c>
      <x:c r="AC19" s="39" t="str">
        <x:v>No</x:v>
      </x:c>
      <x:c r="AD19" s="46" t="n">
        <x:f>IF(C19="COMERCIAL",IF(AC19="Sí",40,0)+IF(D19="Recurrente",15,0)+IF(S19="Alto",25,IF(S19="Medio",12,0))+IF(R19&gt;=30000,20,IF(R19&gt;=10000,12,IF(R19&gt;=5000,6,0)))+IF(N19&lt;=Metadatos!$B$13+1,25,0)+IF(AB19="Sí",15,0)+IF(AA19="No responde",-10,0),IF(Y19="Incumplido",40,0)+IF(AND(W19="Sí",X19=Metadatos!$B$13),35,0)+IF(V19&gt;=20000,25,IF(V19&gt;=10000,18,IF(V19&gt;=5000,10,0)))+IF(U19&gt;=15,25,IF(U19&gt;=6,20,IF(U19&gt;=3,10,0)))+IF(Z19&gt;=3,20,IF(Z19&gt;=2,10,0))+IF(AA19="Respondió",-10,0)+IF(AND(Y19="Vigente",X19&gt;Metadatos!$B$13),-10,0))</x:f>
        <x:v>105</x:v>
      </x:c>
      <x:c r="AE19" s="39" t="str">
        <x:f>IF(AD19&gt;=70,"P1",IF(AD19&gt;=50,"P2",IF(AD19&gt;=30,"P3","P4")))</x:f>
        <x:v>P1</x:v>
      </x:c>
      <x:c r="AF19" s="39" t="str">
        <x:v>Compromiso incumplido y cliente sin respuesta</x:v>
      </x:c>
      <x:c r="AG19" s="39" t="str">
        <x:v>Pendiente</x:v>
      </x:c>
      <x:c r="AH19" s="39" t="str">
        <x:v>https://www.google.com/maps?q=-5.205130,-80.647452</x:v>
      </x:c>
      <x:c r="AI19" s="39" t="str">
        <x:v>SINTÉTICO</x:v>
      </x:c>
    </x:row>
    <x:row r="20">
      <x:c r="A20" s="39" t="str">
        <x:v>CLI-019</x:v>
      </x:c>
      <x:c r="B20" s="39" t="str">
        <x:v>Cliente 019</x:v>
      </x:c>
      <x:c r="C20" s="39" t="str">
        <x:v>COMERCIAL</x:v>
      </x:c>
      <x:c r="D20" s="39" t="str">
        <x:v>Recurrente</x:v>
      </x:c>
      <x:c r="E20" s="39" t="str">
        <x:v>Ahorro</x:v>
      </x:c>
      <x:c r="F20" s="39" t="str">
        <x:v>Negociación</x:v>
      </x:c>
      <x:c r="G20" s="40" t="n">
        <x:v>-5.194882</x:v>
      </x:c>
      <x:c r="H20" s="40" t="n">
        <x:v>-80.615646</x:v>
      </x:c>
      <x:c r="I20" s="39" t="str">
        <x:v>Piura</x:v>
      </x:c>
      <x:c r="J20" s="39" t="str">
        <x:v>Piura</x:v>
      </x:c>
      <x:c r="K20" s="39" t="str">
        <x:v>AG01</x:v>
      </x:c>
      <x:c r="L20" s="39" t="str">
        <x:v>Mibanco Piura Centro</x:v>
      </x:c>
      <x:c r="M20" s="41" t="n">
        <x:v>1.9</x:v>
      </x:c>
      <x:c r="N20" s="42" t="n">
        <x:v>46291</x:v>
      </x:c>
      <x:c r="O20" s="43" t="n">
        <x:v>0.5416666666666666</x:v>
      </x:c>
      <x:c r="P20" s="43" t="n">
        <x:v>0.5833333333333334</x:v>
      </x:c>
      <x:c r="Q20" s="39" t="n">
        <x:v>25</x:v>
      </x:c>
      <x:c r="R20" s="44" t="n">
        <x:v>6900</x:v>
      </x:c>
      <x:c r="S20" s="39" t="str">
        <x:v>Alto</x:v>
      </x:c>
      <x:c r="T20" s="45" t="n">
        <x:v>0.91</x:v>
      </x:c>
      <x:c r="U20" s="39" t="n">
        <x:v>0</x:v>
      </x:c>
      <x:c r="V20" s="44" t="n">
        <x:v>0</x:v>
      </x:c>
      <x:c r="W20" s="39" t="str">
        <x:v>No</x:v>
      </x:c>
      <x:c r="X20" s="42"/>
      <x:c r="Y20" s="39" t="str">
        <x:v>No aplica</x:v>
      </x:c>
      <x:c r="Z20" s="39" t="n">
        <x:v>0</x:v>
      </x:c>
      <x:c r="AA20" s="39" t="str">
        <x:v>Respondió</x:v>
      </x:c>
      <x:c r="AB20" s="39" t="str">
        <x:v>Sí</x:v>
      </x:c>
      <x:c r="AC20" s="39" t="str">
        <x:v>Sí</x:v>
      </x:c>
      <x:c r="AD20" s="46" t="n">
        <x:f>IF(C20="COMERCIAL",IF(AC20="Sí",40,0)+IF(D20="Recurrente",15,0)+IF(S20="Alto",25,IF(S20="Medio",12,0))+IF(R20&gt;=30000,20,IF(R20&gt;=10000,12,IF(R20&gt;=5000,6,0)))+IF(N20&lt;=Metadatos!$B$13+1,25,0)+IF(AB20="Sí",15,0)+IF(AA20="No responde",-10,0),IF(Y20="Incumplido",40,0)+IF(AND(W20="Sí",X20=Metadatos!$B$13),35,0)+IF(V20&gt;=20000,25,IF(V20&gt;=10000,18,IF(V20&gt;=5000,10,0)))+IF(U20&gt;=15,25,IF(U20&gt;=6,20,IF(U20&gt;=3,10,0)))+IF(Z20&gt;=3,20,IF(Z20&gt;=2,10,0))+IF(AA20="Respondió",-10,0)+IF(AND(Y20="Vigente",X20&gt;Metadatos!$B$13),-10,0))</x:f>
        <x:v>126</x:v>
      </x:c>
      <x:c r="AE20" s="39" t="str">
        <x:f>IF(AD20&gt;=70,"P1",IF(AD20&gt;=50,"P2",IF(AD20&gt;=30,"P3","P4")))</x:f>
        <x:v>P1</x:v>
      </x:c>
      <x:c r="AF20" s="39" t="str">
        <x:v>Operación prevista hoy y cliente recurrente</x:v>
      </x:c>
      <x:c r="AG20" s="39" t="str">
        <x:v>Pendiente</x:v>
      </x:c>
      <x:c r="AH20" s="39" t="str">
        <x:v>https://www.google.com/maps?q=-5.194882,-80.615646</x:v>
      </x:c>
      <x:c r="AI20" s="39" t="str">
        <x:v>SINTÉTICO</x:v>
      </x:c>
    </x:row>
    <x:row r="21">
      <x:c r="A21" s="39" t="str">
        <x:v>CLI-020</x:v>
      </x:c>
      <x:c r="B21" s="39" t="str">
        <x:v>Cliente 020</x:v>
      </x:c>
      <x:c r="C21" s="39" t="str">
        <x:v>COBRANZA</x:v>
      </x:c>
      <x:c r="D21" s="39" t="str">
        <x:v>Deudor</x:v>
      </x:c>
      <x:c r="E21" s="39" t="str">
        <x:v>Cobranza de crédito</x:v>
      </x:c>
      <x:c r="F21" s="39" t="str">
        <x:v>Recuperación</x:v>
      </x:c>
      <x:c r="G21" s="40" t="n">
        <x:v>-5.221173</x:v>
      </x:c>
      <x:c r="H21" s="40" t="n">
        <x:v>-80.631572</x:v>
      </x:c>
      <x:c r="I21" s="39" t="str">
        <x:v>Piura</x:v>
      </x:c>
      <x:c r="J21" s="39" t="str">
        <x:v>Piura</x:v>
      </x:c>
      <x:c r="K21" s="39" t="str">
        <x:v>AG01</x:v>
      </x:c>
      <x:c r="L21" s="39" t="str">
        <x:v>Mibanco Piura Centro</x:v>
      </x:c>
      <x:c r="M21" s="41" t="n">
        <x:v>2.96</x:v>
      </x:c>
      <x:c r="N21" s="42" t="n">
        <x:v>46291</x:v>
      </x:c>
      <x:c r="O21" s="43" t="n">
        <x:v>0.4375</x:v>
      </x:c>
      <x:c r="P21" s="43" t="n">
        <x:v>0.5</x:v>
      </x:c>
      <x:c r="Q21" s="39" t="n">
        <x:v>45</x:v>
      </x:c>
      <x:c r="R21" s="44" t="n">
        <x:v>0</x:v>
      </x:c>
      <x:c r="S21" s="39" t="str">
        <x:v>No aplica</x:v>
      </x:c>
      <x:c r="T21" s="45" t="n">
        <x:v>0</x:v>
      </x:c>
      <x:c r="U21" s="39" t="n">
        <x:v>22</x:v>
      </x:c>
      <x:c r="V21" s="44" t="n">
        <x:v>11200</x:v>
      </x:c>
      <x:c r="W21" s="39" t="str">
        <x:v>No</x:v>
      </x:c>
      <x:c r="X21" s="42"/>
      <x:c r="Y21" s="39" t="str">
        <x:v>Sin compromiso</x:v>
      </x:c>
      <x:c r="Z21" s="39" t="n">
        <x:v>3</x:v>
      </x:c>
      <x:c r="AA21" s="39" t="str">
        <x:v>No responde</x:v>
      </x:c>
      <x:c r="AB21" s="39" t="str">
        <x:v>No</x:v>
      </x:c>
      <x:c r="AC21" s="39" t="str">
        <x:v>No</x:v>
      </x:c>
      <x:c r="AD21" s="46" t="n">
        <x:f>IF(C21="COMERCIAL",IF(AC21="Sí",40,0)+IF(D21="Recurrente",15,0)+IF(S21="Alto",25,IF(S21="Medio",12,0))+IF(R21&gt;=30000,20,IF(R21&gt;=10000,12,IF(R21&gt;=5000,6,0)))+IF(N21&lt;=Metadatos!$B$13+1,25,0)+IF(AB21="Sí",15,0)+IF(AA21="No responde",-10,0),IF(Y21="Incumplido",40,0)+IF(AND(W21="Sí",X21=Metadatos!$B$13),35,0)+IF(V21&gt;=20000,25,IF(V21&gt;=10000,18,IF(V21&gt;=5000,10,0)))+IF(U21&gt;=15,25,IF(U21&gt;=6,20,IF(U21&gt;=3,10,0)))+IF(Z21&gt;=3,20,IF(Z21&gt;=2,10,0))+IF(AA21="Respondió",-10,0)+IF(AND(Y21="Vigente",X21&gt;Metadatos!$B$13),-10,0))</x:f>
        <x:v>63</x:v>
      </x:c>
      <x:c r="AE21" s="39" t="str">
        <x:f>IF(AD21&gt;=70,"P1",IF(AD21&gt;=50,"P2",IF(AD21&gt;=30,"P3","P4")))</x:f>
        <x:v>P2</x:v>
      </x:c>
      <x:c r="AF21" s="39" t="str">
        <x:v>Mora elevada y saldo alto</x:v>
      </x:c>
      <x:c r="AG21" s="39" t="str">
        <x:v>Programada</x:v>
      </x:c>
      <x:c r="AH21" s="39" t="str">
        <x:v>https://www.google.com/maps?q=-5.221173,-80.631572</x:v>
      </x:c>
      <x:c r="AI21" s="39" t="str">
        <x:v>SINTÉTICO</x:v>
      </x:c>
    </x:row>
    <x:row r="22">
      <x:c r="A22" s="39" t="str">
        <x:v>CLI-021</x:v>
      </x:c>
      <x:c r="B22" s="39" t="str">
        <x:v>Cliente 021</x:v>
      </x:c>
      <x:c r="C22" s="39" t="str">
        <x:v>COMERCIAL</x:v>
      </x:c>
      <x:c r="D22" s="39" t="str">
        <x:v>Recurrente</x:v>
      </x:c>
      <x:c r="E22" s="39" t="str">
        <x:v>Crédito para negocio</x:v>
      </x:c>
      <x:c r="F22" s="39" t="str">
        <x:v>Evaluación</x:v>
      </x:c>
      <x:c r="G22" s="40" t="n">
        <x:v>-5.195936</x:v>
      </x:c>
      <x:c r="H22" s="40" t="n">
        <x:v>-80.617418</x:v>
      </x:c>
      <x:c r="I22" s="39" t="str">
        <x:v>Piura</x:v>
      </x:c>
      <x:c r="J22" s="39" t="str">
        <x:v>Piura</x:v>
      </x:c>
      <x:c r="K22" s="39" t="str">
        <x:v>AG01</x:v>
      </x:c>
      <x:c r="L22" s="39" t="str">
        <x:v>Mibanco Piura Centro</x:v>
      </x:c>
      <x:c r="M22" s="41" t="n">
        <x:v>1.71</x:v>
      </x:c>
      <x:c r="N22" s="42" t="n">
        <x:v>46293</x:v>
      </x:c>
      <x:c r="O22" s="43" t="n">
        <x:v>0.5625</x:v>
      </x:c>
      <x:c r="P22" s="43" t="n">
        <x:v>0.6041666666666666</x:v>
      </x:c>
      <x:c r="Q22" s="39" t="n">
        <x:v>60</x:v>
      </x:c>
      <x:c r="R22" s="44" t="n">
        <x:v>34200</x:v>
      </x:c>
      <x:c r="S22" s="39" t="str">
        <x:v>Medio</x:v>
      </x:c>
      <x:c r="T22" s="45" t="n">
        <x:v>0.5</x:v>
      </x:c>
      <x:c r="U22" s="39" t="n">
        <x:v>0</x:v>
      </x:c>
      <x:c r="V22" s="44" t="n">
        <x:v>0</x:v>
      </x:c>
      <x:c r="W22" s="39" t="str">
        <x:v>No</x:v>
      </x:c>
      <x:c r="X22" s="42"/>
      <x:c r="Y22" s="39" t="str">
        <x:v>No aplica</x:v>
      </x:c>
      <x:c r="Z22" s="39" t="n">
        <x:v>0</x:v>
      </x:c>
      <x:c r="AA22" s="39" t="str">
        <x:v>Respondió</x:v>
      </x:c>
      <x:c r="AB22" s="39" t="str">
        <x:v>No</x:v>
      </x:c>
      <x:c r="AC22" s="39" t="str">
        <x:v>No</x:v>
      </x:c>
      <x:c r="AD22" s="46" t="n">
        <x:f>IF(C22="COMERCIAL",IF(AC22="Sí",40,0)+IF(D22="Recurrente",15,0)+IF(S22="Alto",25,IF(S22="Medio",12,0))+IF(R22&gt;=30000,20,IF(R22&gt;=10000,12,IF(R22&gt;=5000,6,0)))+IF(N22&lt;=Metadatos!$B$13+1,25,0)+IF(AB22="Sí",15,0)+IF(AA22="No responde",-10,0),IF(Y22="Incumplido",40,0)+IF(AND(W22="Sí",X22=Metadatos!$B$13),35,0)+IF(V22&gt;=20000,25,IF(V22&gt;=10000,18,IF(V22&gt;=5000,10,0)))+IF(U22&gt;=15,25,IF(U22&gt;=6,20,IF(U22&gt;=3,10,0)))+IF(Z22&gt;=3,20,IF(Z22&gt;=2,10,0))+IF(AA22="Respondió",-10,0)+IF(AND(Y22="Vigente",X22&gt;Metadatos!$B$13),-10,0))</x:f>
        <x:v>47</x:v>
      </x:c>
      <x:c r="AE22" s="39" t="str">
        <x:f>IF(AD22&gt;=70,"P1",IF(AD22&gt;=50,"P2",IF(AD22&gt;=30,"P3","P4")))</x:f>
        <x:v>P3</x:v>
      </x:c>
      <x:c r="AF22" s="39" t="str">
        <x:v>Cliente recurrente con oportunidad activa</x:v>
      </x:c>
      <x:c r="AG22" s="39" t="str">
        <x:v>Pendiente</x:v>
      </x:c>
      <x:c r="AH22" s="39" t="str">
        <x:v>https://www.google.com/maps?q=-5.195936,-80.617418</x:v>
      </x:c>
      <x:c r="AI22" s="39" t="str">
        <x:v>SINTÉTICO</x:v>
      </x:c>
    </x:row>
    <x:row r="23">
      <x:c r="A23" s="39" t="str">
        <x:v>CLI-022</x:v>
      </x:c>
      <x:c r="B23" s="39" t="str">
        <x:v>Cliente 022</x:v>
      </x:c>
      <x:c r="C23" s="39" t="str">
        <x:v>COBRANZA</x:v>
      </x:c>
      <x:c r="D23" s="39" t="str">
        <x:v>Deudor</x:v>
      </x:c>
      <x:c r="E23" s="39" t="str">
        <x:v>Cobranza de crédito</x:v>
      </x:c>
      <x:c r="F23" s="39" t="str">
        <x:v>Recuperación</x:v>
      </x:c>
      <x:c r="G23" s="40" t="n">
        <x:v>-5.171693</x:v>
      </x:c>
      <x:c r="H23" s="40" t="n">
        <x:v>-80.639218</x:v>
      </x:c>
      <x:c r="I23" s="39" t="str">
        <x:v>Piura</x:v>
      </x:c>
      <x:c r="J23" s="39" t="str">
        <x:v>Piura</x:v>
      </x:c>
      <x:c r="K23" s="39" t="str">
        <x:v>AG01</x:v>
      </x:c>
      <x:c r="L23" s="39" t="str">
        <x:v>Mibanco Piura Centro</x:v>
      </x:c>
      <x:c r="M23" s="41" t="n">
        <x:v>2.65</x:v>
      </x:c>
      <x:c r="N23" s="42" t="n">
        <x:v>46291</x:v>
      </x:c>
      <x:c r="O23" s="43" t="n">
        <x:v>0.5208333333333334</x:v>
      </x:c>
      <x:c r="P23" s="43" t="n">
        <x:v>0.6041666666666666</x:v>
      </x:c>
      <x:c r="Q23" s="39" t="n">
        <x:v>45</x:v>
      </x:c>
      <x:c r="R23" s="44" t="n">
        <x:v>0</x:v>
      </x:c>
      <x:c r="S23" s="39" t="str">
        <x:v>No aplica</x:v>
      </x:c>
      <x:c r="T23" s="45" t="n">
        <x:v>0</x:v>
      </x:c>
      <x:c r="U23" s="39" t="n">
        <x:v>2</x:v>
      </x:c>
      <x:c r="V23" s="44" t="n">
        <x:v>31900</x:v>
      </x:c>
      <x:c r="W23" s="39" t="str">
        <x:v>No</x:v>
      </x:c>
      <x:c r="X23" s="42"/>
      <x:c r="Y23" s="39" t="str">
        <x:v>Sin compromiso</x:v>
      </x:c>
      <x:c r="Z23" s="39" t="n">
        <x:v>3</x:v>
      </x:c>
      <x:c r="AA23" s="39" t="str">
        <x:v>Respondió</x:v>
      </x:c>
      <x:c r="AB23" s="39" t="str">
        <x:v>No</x:v>
      </x:c>
      <x:c r="AC23" s="39" t="str">
        <x:v>No</x:v>
      </x:c>
      <x:c r="AD23" s="46" t="n">
        <x:f>IF(C23="COMERCIAL",IF(AC23="Sí",40,0)+IF(D23="Recurrente",15,0)+IF(S23="Alto",25,IF(S23="Medio",12,0))+IF(R23&gt;=30000,20,IF(R23&gt;=10000,12,IF(R23&gt;=5000,6,0)))+IF(N23&lt;=Metadatos!$B$13+1,25,0)+IF(AB23="Sí",15,0)+IF(AA23="No responde",-10,0),IF(Y23="Incumplido",40,0)+IF(AND(W23="Sí",X23=Metadatos!$B$13),35,0)+IF(V23&gt;=20000,25,IF(V23&gt;=10000,18,IF(V23&gt;=5000,10,0)))+IF(U23&gt;=15,25,IF(U23&gt;=6,20,IF(U23&gt;=3,10,0)))+IF(Z23&gt;=3,20,IF(Z23&gt;=2,10,0))+IF(AA23="Respondió",-10,0)+IF(AND(Y23="Vigente",X23&gt;Metadatos!$B$13),-10,0))</x:f>
        <x:v>35</x:v>
      </x:c>
      <x:c r="AE23" s="39" t="str">
        <x:f>IF(AD23&gt;=70,"P1",IF(AD23&gt;=50,"P2",IF(AD23&gt;=30,"P3","P4")))</x:f>
        <x:v>P3</x:v>
      </x:c>
      <x:c r="AF23" s="39" t="str">
        <x:v>Varios intentos sin respuesta</x:v>
      </x:c>
      <x:c r="AG23" s="39" t="str">
        <x:v>Pendiente</x:v>
      </x:c>
      <x:c r="AH23" s="39" t="str">
        <x:v>https://www.google.com/maps?q=-5.171693,-80.639218</x:v>
      </x:c>
      <x:c r="AI23" s="39" t="str">
        <x:v>SINTÉTICO</x:v>
      </x:c>
    </x:row>
    <x:row r="24">
      <x:c r="A24" s="39" t="str">
        <x:v>CLI-023</x:v>
      </x:c>
      <x:c r="B24" s="39" t="str">
        <x:v>Cliente 023</x:v>
      </x:c>
      <x:c r="C24" s="39" t="str">
        <x:v>COMERCIAL</x:v>
      </x:c>
      <x:c r="D24" s="39" t="str">
        <x:v>Nuevo</x:v>
      </x:c>
      <x:c r="E24" s="39" t="str">
        <x:v>Capital de trabajo</x:v>
      </x:c>
      <x:c r="F24" s="39" t="str">
        <x:v>Negociación</x:v>
      </x:c>
      <x:c r="G24" s="40" t="n">
        <x:v>-5.209027</x:v>
      </x:c>
      <x:c r="H24" s="40" t="n">
        <x:v>-80.619505</x:v>
      </x:c>
      <x:c r="I24" s="39" t="str">
        <x:v>Piura</x:v>
      </x:c>
      <x:c r="J24" s="39" t="str">
        <x:v>Piura</x:v>
      </x:c>
      <x:c r="K24" s="39" t="str">
        <x:v>AG01</x:v>
      </x:c>
      <x:c r="L24" s="39" t="str">
        <x:v>Mibanco Piura Centro</x:v>
      </x:c>
      <x:c r="M24" s="41" t="n">
        <x:v>2.18</x:v>
      </x:c>
      <x:c r="N24" s="42" t="n">
        <x:v>46292</x:v>
      </x:c>
      <x:c r="O24" s="43" t="n">
        <x:v>0.3541666666666667</x:v>
      </x:c>
      <x:c r="P24" s="43" t="n">
        <x:v>0.4375</x:v>
      </x:c>
      <x:c r="Q24" s="39" t="n">
        <x:v>60</x:v>
      </x:c>
      <x:c r="R24" s="44" t="n">
        <x:v>8400</x:v>
      </x:c>
      <x:c r="S24" s="39" t="str">
        <x:v>Medio</x:v>
      </x:c>
      <x:c r="T24" s="45" t="n">
        <x:v>0.52</x:v>
      </x:c>
      <x:c r="U24" s="39" t="n">
        <x:v>0</x:v>
      </x:c>
      <x:c r="V24" s="44" t="n">
        <x:v>0</x:v>
      </x:c>
      <x:c r="W24" s="39" t="str">
        <x:v>No</x:v>
      </x:c>
      <x:c r="X24" s="42"/>
      <x:c r="Y24" s="39" t="str">
        <x:v>No aplica</x:v>
      </x:c>
      <x:c r="Z24" s="39" t="n">
        <x:v>0</x:v>
      </x:c>
      <x:c r="AA24" s="39" t="str">
        <x:v>Respondió</x:v>
      </x:c>
      <x:c r="AB24" s="39" t="str">
        <x:v>No</x:v>
      </x:c>
      <x:c r="AC24" s="39" t="str">
        <x:v>No</x:v>
      </x:c>
      <x:c r="AD24" s="46" t="n">
        <x:f>IF(C24="COMERCIAL",IF(AC24="Sí",40,0)+IF(D24="Recurrente",15,0)+IF(S24="Alto",25,IF(S24="Medio",12,0))+IF(R24&gt;=30000,20,IF(R24&gt;=10000,12,IF(R24&gt;=5000,6,0)))+IF(N24&lt;=Metadatos!$B$13+1,25,0)+IF(AB24="Sí",15,0)+IF(AA24="No responde",-10,0),IF(Y24="Incumplido",40,0)+IF(AND(W24="Sí",X24=Metadatos!$B$13),35,0)+IF(V24&gt;=20000,25,IF(V24&gt;=10000,18,IF(V24&gt;=5000,10,0)))+IF(U24&gt;=15,25,IF(U24&gt;=6,20,IF(U24&gt;=3,10,0)))+IF(Z24&gt;=3,20,IF(Z24&gt;=2,10,0))+IF(AA24="Respondió",-10,0)+IF(AND(Y24="Vigente",X24&gt;Metadatos!$B$13),-10,0))</x:f>
        <x:v>43</x:v>
      </x:c>
      <x:c r="AE24" s="39" t="str">
        <x:f>IF(AD24&gt;=70,"P1",IF(AD24&gt;=50,"P2",IF(AD24&gt;=30,"P3","P4")))</x:f>
        <x:v>P3</x:v>
      </x:c>
      <x:c r="AF24" s="39" t="str">
        <x:v>Interés medio; requiere seguimiento</x:v>
      </x:c>
      <x:c r="AG24" s="39" t="str">
        <x:v>Pendiente</x:v>
      </x:c>
      <x:c r="AH24" s="39" t="str">
        <x:v>https://www.google.com/maps?q=-5.209027,-80.619505</x:v>
      </x:c>
      <x:c r="AI24" s="39" t="str">
        <x:v>SINTÉTICO</x:v>
      </x:c>
    </x:row>
    <x:row r="25">
      <x:c r="A25" s="39" t="str">
        <x:v>CLI-024</x:v>
      </x:c>
      <x:c r="B25" s="39" t="str">
        <x:v>Cliente 024</x:v>
      </x:c>
      <x:c r="C25" s="39" t="str">
        <x:v>COBRANZA</x:v>
      </x:c>
      <x:c r="D25" s="39" t="str">
        <x:v>Deudor</x:v>
      </x:c>
      <x:c r="E25" s="39" t="str">
        <x:v>Cobranza de crédito</x:v>
      </x:c>
      <x:c r="F25" s="39" t="str">
        <x:v>Recuperación</x:v>
      </x:c>
      <x:c r="G25" s="40" t="n">
        <x:v>-5.178079</x:v>
      </x:c>
      <x:c r="H25" s="40" t="n">
        <x:v>-80.638184</x:v>
      </x:c>
      <x:c r="I25" s="39" t="str">
        <x:v>Piura</x:v>
      </x:c>
      <x:c r="J25" s="39" t="str">
        <x:v>Piura</x:v>
      </x:c>
      <x:c r="K25" s="39" t="str">
        <x:v>AG01</x:v>
      </x:c>
      <x:c r="L25" s="39" t="str">
        <x:v>Mibanco Piura Centro</x:v>
      </x:c>
      <x:c r="M25" s="41" t="n">
        <x:v>1.94</x:v>
      </x:c>
      <x:c r="N25" s="42" t="n">
        <x:v>46294</x:v>
      </x:c>
      <x:c r="O25" s="43" t="n">
        <x:v>0.5</x:v>
      </x:c>
      <x:c r="P25" s="43" t="n">
        <x:v>0.5833333333333334</x:v>
      </x:c>
      <x:c r="Q25" s="39" t="n">
        <x:v>45</x:v>
      </x:c>
      <x:c r="R25" s="44" t="n">
        <x:v>0</x:v>
      </x:c>
      <x:c r="S25" s="39" t="str">
        <x:v>No aplica</x:v>
      </x:c>
      <x:c r="T25" s="45" t="n">
        <x:v>0</x:v>
      </x:c>
      <x:c r="U25" s="39" t="n">
        <x:v>8</x:v>
      </x:c>
      <x:c r="V25" s="44" t="n">
        <x:v>6600</x:v>
      </x:c>
      <x:c r="W25" s="39" t="str">
        <x:v>Sí</x:v>
      </x:c>
      <x:c r="X25" s="42" t="n">
        <x:v>46290</x:v>
      </x:c>
      <x:c r="Y25" s="39" t="str">
        <x:v>Cumplido</x:v>
      </x:c>
      <x:c r="Z25" s="39" t="n">
        <x:v>0</x:v>
      </x:c>
      <x:c r="AA25" s="39" t="str">
        <x:v>Respondió</x:v>
      </x:c>
      <x:c r="AB25" s="39" t="str">
        <x:v>No</x:v>
      </x:c>
      <x:c r="AC25" s="39" t="str">
        <x:v>No</x:v>
      </x:c>
      <x:c r="AD25" s="46" t="n">
        <x:f>IF(C25="COMERCIAL",IF(AC25="Sí",40,0)+IF(D25="Recurrente",15,0)+IF(S25="Alto",25,IF(S25="Medio",12,0))+IF(R25&gt;=30000,20,IF(R25&gt;=10000,12,IF(R25&gt;=5000,6,0)))+IF(N25&lt;=Metadatos!$B$13+1,25,0)+IF(AB25="Sí",15,0)+IF(AA25="No responde",-10,0),IF(Y25="Incumplido",40,0)+IF(AND(W25="Sí",X25=Metadatos!$B$13),35,0)+IF(V25&gt;=20000,25,IF(V25&gt;=10000,18,IF(V25&gt;=5000,10,0)))+IF(U25&gt;=15,25,IF(U25&gt;=6,20,IF(U25&gt;=3,10,0)))+IF(Z25&gt;=3,20,IF(Z25&gt;=2,10,0))+IF(AA25="Respondió",-10,0)+IF(AND(Y25="Vigente",X25&gt;Metadatos!$B$13),-10,0))</x:f>
        <x:v>20</x:v>
      </x:c>
      <x:c r="AE25" s="39" t="str">
        <x:f>IF(AD25&gt;=70,"P1",IF(AD25&gt;=50,"P2",IF(AD25&gt;=30,"P3","P4")))</x:f>
        <x:v>P4</x:v>
      </x:c>
      <x:c r="AF25" s="39" t="str">
        <x:v>Seguimiento por días de mora</x:v>
      </x:c>
      <x:c r="AG25" s="39" t="str">
        <x:v>Pendiente</x:v>
      </x:c>
      <x:c r="AH25" s="39" t="str">
        <x:v>https://www.google.com/maps?q=-5.178079,-80.638184</x:v>
      </x:c>
      <x:c r="AI25" s="39" t="str">
        <x:v>SINTÉTICO</x:v>
      </x:c>
    </x:row>
    <x:row r="26">
      <x:c r="A26" s="39" t="str">
        <x:v>CLI-025</x:v>
      </x:c>
      <x:c r="B26" s="39" t="str">
        <x:v>Cliente 025</x:v>
      </x:c>
      <x:c r="C26" s="39" t="str">
        <x:v>COMERCIAL</x:v>
      </x:c>
      <x:c r="D26" s="39" t="str">
        <x:v>Recurrente</x:v>
      </x:c>
      <x:c r="E26" s="39" t="str">
        <x:v>Seguro</x:v>
      </x:c>
      <x:c r="F26" s="39" t="str">
        <x:v>Contactado</x:v>
      </x:c>
      <x:c r="G26" s="40" t="n">
        <x:v>-5.189556</x:v>
      </x:c>
      <x:c r="H26" s="40" t="n">
        <x:v>-80.655052</x:v>
      </x:c>
      <x:c r="I26" s="39" t="str">
        <x:v>Piura</x:v>
      </x:c>
      <x:c r="J26" s="39" t="str">
        <x:v>Piura</x:v>
      </x:c>
      <x:c r="K26" s="39" t="str">
        <x:v>AG01</x:v>
      </x:c>
      <x:c r="L26" s="39" t="str">
        <x:v>Mibanco Piura Centro</x:v>
      </x:c>
      <x:c r="M26" s="41" t="n">
        <x:v>2.53</x:v>
      </x:c>
      <x:c r="N26" s="42" t="n">
        <x:v>46296</x:v>
      </x:c>
      <x:c r="O26" s="43" t="n">
        <x:v>0.3541666666666667</x:v>
      </x:c>
      <x:c r="P26" s="43" t="n">
        <x:v>0.3958333333333333</x:v>
      </x:c>
      <x:c r="Q26" s="39" t="n">
        <x:v>30</x:v>
      </x:c>
      <x:c r="R26" s="44" t="n">
        <x:v>35100</x:v>
      </x:c>
      <x:c r="S26" s="39" t="str">
        <x:v>Bajo</x:v>
      </x:c>
      <x:c r="T26" s="45" t="n">
        <x:v>0.33</x:v>
      </x:c>
      <x:c r="U26" s="39" t="n">
        <x:v>0</x:v>
      </x:c>
      <x:c r="V26" s="44" t="n">
        <x:v>0</x:v>
      </x:c>
      <x:c r="W26" s="39" t="str">
        <x:v>No</x:v>
      </x:c>
      <x:c r="X26" s="42"/>
      <x:c r="Y26" s="39" t="str">
        <x:v>No aplica</x:v>
      </x:c>
      <x:c r="Z26" s="39" t="n">
        <x:v>0</x:v>
      </x:c>
      <x:c r="AA26" s="39" t="str">
        <x:v>No responde</x:v>
      </x:c>
      <x:c r="AB26" s="39" t="str">
        <x:v>No</x:v>
      </x:c>
      <x:c r="AC26" s="39" t="str">
        <x:v>No</x:v>
      </x:c>
      <x:c r="AD26" s="46" t="n">
        <x:f>IF(C26="COMERCIAL",IF(AC26="Sí",40,0)+IF(D26="Recurrente",15,0)+IF(S26="Alto",25,IF(S26="Medio",12,0))+IF(R26&gt;=30000,20,IF(R26&gt;=10000,12,IF(R26&gt;=5000,6,0)))+IF(N26&lt;=Metadatos!$B$13+1,25,0)+IF(AB26="Sí",15,0)+IF(AA26="No responde",-10,0),IF(Y26="Incumplido",40,0)+IF(AND(W26="Sí",X26=Metadatos!$B$13),35,0)+IF(V26&gt;=20000,25,IF(V26&gt;=10000,18,IF(V26&gt;=5000,10,0)))+IF(U26&gt;=15,25,IF(U26&gt;=6,20,IF(U26&gt;=3,10,0)))+IF(Z26&gt;=3,20,IF(Z26&gt;=2,10,0))+IF(AA26="Respondió",-10,0)+IF(AND(Y26="Vigente",X26&gt;Metadatos!$B$13),-10,0))</x:f>
        <x:v>25</x:v>
      </x:c>
      <x:c r="AE26" s="39" t="str">
        <x:f>IF(AD26&gt;=70,"P1",IF(AD26&gt;=50,"P2",IF(AD26&gt;=30,"P3","P4")))</x:f>
        <x:v>P4</x:v>
      </x:c>
      <x:c r="AF26" s="39" t="str">
        <x:v>Prospecto sin urgencia inmediata</x:v>
      </x:c>
      <x:c r="AG26" s="39" t="str">
        <x:v>Pendiente</x:v>
      </x:c>
      <x:c r="AH26" s="39" t="str">
        <x:v>https://www.google.com/maps?q=-5.189556,-80.655052</x:v>
      </x:c>
      <x:c r="AI26" s="39" t="str">
        <x:v>SINTÉTICO</x:v>
      </x:c>
    </x:row>
    <x:row r="27">
      <x:c r="A27" s="39" t="str">
        <x:v>CLI-026</x:v>
      </x:c>
      <x:c r="B27" s="39" t="str">
        <x:v>Cliente 026</x:v>
      </x:c>
      <x:c r="C27" s="39" t="str">
        <x:v>COBRANZA</x:v>
      </x:c>
      <x:c r="D27" s="39" t="str">
        <x:v>Deudor</x:v>
      </x:c>
      <x:c r="E27" s="39" t="str">
        <x:v>Cobranza de crédito</x:v>
      </x:c>
      <x:c r="F27" s="39" t="str">
        <x:v>Recuperación</x:v>
      </x:c>
      <x:c r="G27" s="40" t="n">
        <x:v>-5.205282</x:v>
      </x:c>
      <x:c r="H27" s="40" t="n">
        <x:v>-80.617921</x:v>
      </x:c>
      <x:c r="I27" s="39" t="str">
        <x:v>Piura</x:v>
      </x:c>
      <x:c r="J27" s="39" t="str">
        <x:v>Piura</x:v>
      </x:c>
      <x:c r="K27" s="39" t="str">
        <x:v>AG01</x:v>
      </x:c>
      <x:c r="L27" s="39" t="str">
        <x:v>Mibanco Piura Centro</x:v>
      </x:c>
      <x:c r="M27" s="41" t="n">
        <x:v>2.03</x:v>
      </x:c>
      <x:c r="N27" s="42" t="n">
        <x:v>46291</x:v>
      </x:c>
      <x:c r="O27" s="43" t="n">
        <x:v>0.3541666666666667</x:v>
      </x:c>
      <x:c r="P27" s="43" t="n">
        <x:v>0.4375</x:v>
      </x:c>
      <x:c r="Q27" s="39" t="n">
        <x:v>35</x:v>
      </x:c>
      <x:c r="R27" s="44" t="n">
        <x:v>0</x:v>
      </x:c>
      <x:c r="S27" s="39" t="str">
        <x:v>No aplica</x:v>
      </x:c>
      <x:c r="T27" s="45" t="n">
        <x:v>0</x:v>
      </x:c>
      <x:c r="U27" s="39" t="n">
        <x:v>18</x:v>
      </x:c>
      <x:c r="V27" s="44" t="n">
        <x:v>22200</x:v>
      </x:c>
      <x:c r="W27" s="39" t="str">
        <x:v>No</x:v>
      </x:c>
      <x:c r="X27" s="42"/>
      <x:c r="Y27" s="39" t="str">
        <x:v>Sin compromiso</x:v>
      </x:c>
      <x:c r="Z27" s="39" t="n">
        <x:v>1</x:v>
      </x:c>
      <x:c r="AA27" s="39" t="str">
        <x:v>No responde</x:v>
      </x:c>
      <x:c r="AB27" s="39" t="str">
        <x:v>No</x:v>
      </x:c>
      <x:c r="AC27" s="39" t="str">
        <x:v>No</x:v>
      </x:c>
      <x:c r="AD27" s="46" t="n">
        <x:f>IF(C27="COMERCIAL",IF(AC27="Sí",40,0)+IF(D27="Recurrente",15,0)+IF(S27="Alto",25,IF(S27="Medio",12,0))+IF(R27&gt;=30000,20,IF(R27&gt;=10000,12,IF(R27&gt;=5000,6,0)))+IF(N27&lt;=Metadatos!$B$13+1,25,0)+IF(AB27="Sí",15,0)+IF(AA27="No responde",-10,0),IF(Y27="Incumplido",40,0)+IF(AND(W27="Sí",X27=Metadatos!$B$13),35,0)+IF(V27&gt;=20000,25,IF(V27&gt;=10000,18,IF(V27&gt;=5000,10,0)))+IF(U27&gt;=15,25,IF(U27&gt;=6,20,IF(U27&gt;=3,10,0)))+IF(Z27&gt;=3,20,IF(Z27&gt;=2,10,0))+IF(AA27="Respondió",-10,0)+IF(AND(Y27="Vigente",X27&gt;Metadatos!$B$13),-10,0))</x:f>
        <x:v>50</x:v>
      </x:c>
      <x:c r="AE27" s="39" t="str">
        <x:f>IF(AD27&gt;=70,"P1",IF(AD27&gt;=50,"P2",IF(AD27&gt;=30,"P3","P4")))</x:f>
        <x:v>P2</x:v>
      </x:c>
      <x:c r="AF27" s="39" t="str">
        <x:v>Mora elevada y saldo alto</x:v>
      </x:c>
      <x:c r="AG27" s="39" t="str">
        <x:v>Programada</x:v>
      </x:c>
      <x:c r="AH27" s="39" t="str">
        <x:v>https://www.google.com/maps?q=-5.205282,-80.617921</x:v>
      </x:c>
      <x:c r="AI27" s="39" t="str">
        <x:v>SINTÉTICO</x:v>
      </x:c>
    </x:row>
    <x:row r="28">
      <x:c r="A28" s="39" t="str">
        <x:v>CLI-027</x:v>
      </x:c>
      <x:c r="B28" s="39" t="str">
        <x:v>Cliente 027</x:v>
      </x:c>
      <x:c r="C28" s="39" t="str">
        <x:v>COMERCIAL</x:v>
      </x:c>
      <x:c r="D28" s="39" t="str">
        <x:v>Nuevo</x:v>
      </x:c>
      <x:c r="E28" s="39" t="str">
        <x:v>Crédito personal</x:v>
      </x:c>
      <x:c r="F28" s="39" t="str">
        <x:v>Negociación</x:v>
      </x:c>
      <x:c r="G28" s="40" t="n">
        <x:v>-5.182745</x:v>
      </x:c>
      <x:c r="H28" s="40" t="n">
        <x:v>-80.623469</x:v>
      </x:c>
      <x:c r="I28" s="39" t="str">
        <x:v>Piura</x:v>
      </x:c>
      <x:c r="J28" s="39" t="str">
        <x:v>Piura</x:v>
      </x:c>
      <x:c r="K28" s="39" t="str">
        <x:v>AG01</x:v>
      </x:c>
      <x:c r="L28" s="39" t="str">
        <x:v>Mibanco Piura Centro</x:v>
      </x:c>
      <x:c r="M28" s="41" t="n">
        <x:v>1.68</x:v>
      </x:c>
      <x:c r="N28" s="42" t="n">
        <x:v>46293</x:v>
      </x:c>
      <x:c r="O28" s="43" t="n">
        <x:v>0.3958333333333333</x:v>
      </x:c>
      <x:c r="P28" s="43" t="n">
        <x:v>0.4375</x:v>
      </x:c>
      <x:c r="Q28" s="39" t="n">
        <x:v>50</x:v>
      </x:c>
      <x:c r="R28" s="44" t="n">
        <x:v>2900</x:v>
      </x:c>
      <x:c r="S28" s="39" t="str">
        <x:v>Medio</x:v>
      </x:c>
      <x:c r="T28" s="45" t="n">
        <x:v>0.42</x:v>
      </x:c>
      <x:c r="U28" s="39" t="n">
        <x:v>0</x:v>
      </x:c>
      <x:c r="V28" s="44" t="n">
        <x:v>0</x:v>
      </x:c>
      <x:c r="W28" s="39" t="str">
        <x:v>No</x:v>
      </x:c>
      <x:c r="X28" s="42"/>
      <x:c r="Y28" s="39" t="str">
        <x:v>No aplica</x:v>
      </x:c>
      <x:c r="Z28" s="39" t="n">
        <x:v>0</x:v>
      </x:c>
      <x:c r="AA28" s="39" t="str">
        <x:v>Respondió</x:v>
      </x:c>
      <x:c r="AB28" s="39" t="str">
        <x:v>No</x:v>
      </x:c>
      <x:c r="AC28" s="39" t="str">
        <x:v>No</x:v>
      </x:c>
      <x:c r="AD28" s="46" t="n">
        <x:f>IF(C28="COMERCIAL",IF(AC28="Sí",40,0)+IF(D28="Recurrente",15,0)+IF(S28="Alto",25,IF(S28="Medio",12,0))+IF(R28&gt;=30000,20,IF(R28&gt;=10000,12,IF(R28&gt;=5000,6,0)))+IF(N28&lt;=Metadatos!$B$13+1,25,0)+IF(AB28="Sí",15,0)+IF(AA28="No responde",-10,0),IF(Y28="Incumplido",40,0)+IF(AND(W28="Sí",X28=Metadatos!$B$13),35,0)+IF(V28&gt;=20000,25,IF(V28&gt;=10000,18,IF(V28&gt;=5000,10,0)))+IF(U28&gt;=15,25,IF(U28&gt;=6,20,IF(U28&gt;=3,10,0)))+IF(Z28&gt;=3,20,IF(Z28&gt;=2,10,0))+IF(AA28="Respondió",-10,0)+IF(AND(Y28="Vigente",X28&gt;Metadatos!$B$13),-10,0))</x:f>
        <x:v>12</x:v>
      </x:c>
      <x:c r="AE28" s="39" t="str">
        <x:f>IF(AD28&gt;=70,"P1",IF(AD28&gt;=50,"P2",IF(AD28&gt;=30,"P3","P4")))</x:f>
        <x:v>P4</x:v>
      </x:c>
      <x:c r="AF28" s="39" t="str">
        <x:v>Interés medio; requiere seguimiento</x:v>
      </x:c>
      <x:c r="AG28" s="39" t="str">
        <x:v>Pendiente</x:v>
      </x:c>
      <x:c r="AH28" s="39" t="str">
        <x:v>https://www.google.com/maps?q=-5.182745,-80.623469</x:v>
      </x:c>
      <x:c r="AI28" s="39" t="str">
        <x:v>SINTÉTICO</x:v>
      </x:c>
    </x:row>
    <x:row r="29">
      <x:c r="A29" s="39" t="str">
        <x:v>CLI-028</x:v>
      </x:c>
      <x:c r="B29" s="39" t="str">
        <x:v>Cliente 028</x:v>
      </x:c>
      <x:c r="C29" s="39" t="str">
        <x:v>COBRANZA</x:v>
      </x:c>
      <x:c r="D29" s="39" t="str">
        <x:v>Deudor</x:v>
      </x:c>
      <x:c r="E29" s="39" t="str">
        <x:v>Cobranza de crédito</x:v>
      </x:c>
      <x:c r="F29" s="39" t="str">
        <x:v>Recuperación</x:v>
      </x:c>
      <x:c r="G29" s="40" t="n">
        <x:v>-5.169241</x:v>
      </x:c>
      <x:c r="H29" s="40" t="n">
        <x:v>-80.622906</x:v>
      </x:c>
      <x:c r="I29" s="39" t="str">
        <x:v>Piura</x:v>
      </x:c>
      <x:c r="J29" s="39" t="str">
        <x:v>Piura</x:v>
      </x:c>
      <x:c r="K29" s="39" t="str">
        <x:v>AG01</x:v>
      </x:c>
      <x:c r="L29" s="39" t="str">
        <x:v>Mibanco Piura Centro</x:v>
      </x:c>
      <x:c r="M29" s="41" t="n">
        <x:v>3.03</x:v>
      </x:c>
      <x:c r="N29" s="42" t="n">
        <x:v>46294</x:v>
      </x:c>
      <x:c r="O29" s="43" t="n">
        <x:v>0.6041666666666666</x:v>
      </x:c>
      <x:c r="P29" s="43" t="n">
        <x:v>0.6458333333333334</x:v>
      </x:c>
      <x:c r="Q29" s="39" t="n">
        <x:v>50</x:v>
      </x:c>
      <x:c r="R29" s="44" t="n">
        <x:v>0</x:v>
      </x:c>
      <x:c r="S29" s="39" t="str">
        <x:v>No aplica</x:v>
      </x:c>
      <x:c r="T29" s="45" t="n">
        <x:v>0</x:v>
      </x:c>
      <x:c r="U29" s="39" t="n">
        <x:v>2</x:v>
      </x:c>
      <x:c r="V29" s="44" t="n">
        <x:v>8100</x:v>
      </x:c>
      <x:c r="W29" s="39" t="str">
        <x:v>No</x:v>
      </x:c>
      <x:c r="X29" s="42"/>
      <x:c r="Y29" s="39" t="str">
        <x:v>Sin compromiso</x:v>
      </x:c>
      <x:c r="Z29" s="39" t="n">
        <x:v>4</x:v>
      </x:c>
      <x:c r="AA29" s="39" t="str">
        <x:v>No responde</x:v>
      </x:c>
      <x:c r="AB29" s="39" t="str">
        <x:v>No</x:v>
      </x:c>
      <x:c r="AC29" s="39" t="str">
        <x:v>No</x:v>
      </x:c>
      <x:c r="AD29" s="46" t="n">
        <x:f>IF(C29="COMERCIAL",IF(AC29="Sí",40,0)+IF(D29="Recurrente",15,0)+IF(S29="Alto",25,IF(S29="Medio",12,0))+IF(R29&gt;=30000,20,IF(R29&gt;=10000,12,IF(R29&gt;=5000,6,0)))+IF(N29&lt;=Metadatos!$B$13+1,25,0)+IF(AB29="Sí",15,0)+IF(AA29="No responde",-10,0),IF(Y29="Incumplido",40,0)+IF(AND(W29="Sí",X29=Metadatos!$B$13),35,0)+IF(V29&gt;=20000,25,IF(V29&gt;=10000,18,IF(V29&gt;=5000,10,0)))+IF(U29&gt;=15,25,IF(U29&gt;=6,20,IF(U29&gt;=3,10,0)))+IF(Z29&gt;=3,20,IF(Z29&gt;=2,10,0))+IF(AA29="Respondió",-10,0)+IF(AND(Y29="Vigente",X29&gt;Metadatos!$B$13),-10,0))</x:f>
        <x:v>30</x:v>
      </x:c>
      <x:c r="AE29" s="39" t="str">
        <x:f>IF(AD29&gt;=70,"P1",IF(AD29&gt;=50,"P2",IF(AD29&gt;=30,"P3","P4")))</x:f>
        <x:v>P3</x:v>
      </x:c>
      <x:c r="AF29" s="39" t="str">
        <x:v>Varios intentos sin respuesta</x:v>
      </x:c>
      <x:c r="AG29" s="39" t="str">
        <x:v>Pendiente</x:v>
      </x:c>
      <x:c r="AH29" s="39" t="str">
        <x:v>https://www.google.com/maps?q=-5.169241,-80.622906</x:v>
      </x:c>
      <x:c r="AI29" s="39" t="str">
        <x:v>SINTÉTICO</x:v>
      </x:c>
    </x:row>
    <x:row r="30">
      <x:c r="A30" s="39" t="str">
        <x:v>CLI-029</x:v>
      </x:c>
      <x:c r="B30" s="39" t="str">
        <x:v>Cliente 029</x:v>
      </x:c>
      <x:c r="C30" s="39" t="str">
        <x:v>COMERCIAL</x:v>
      </x:c>
      <x:c r="D30" s="39" t="str">
        <x:v>Recurrente</x:v>
      </x:c>
      <x:c r="E30" s="39" t="str">
        <x:v>Ahorro</x:v>
      </x:c>
      <x:c r="F30" s="39" t="str">
        <x:v>Negociación</x:v>
      </x:c>
      <x:c r="G30" s="40" t="n">
        <x:v>-5.202854</x:v>
      </x:c>
      <x:c r="H30" s="40" t="n">
        <x:v>-80.640828</x:v>
      </x:c>
      <x:c r="I30" s="39" t="str">
        <x:v>Piura</x:v>
      </x:c>
      <x:c r="J30" s="39" t="str">
        <x:v>Piura</x:v>
      </x:c>
      <x:c r="K30" s="39" t="str">
        <x:v>AG01</x:v>
      </x:c>
      <x:c r="L30" s="39" t="str">
        <x:v>Mibanco Piura Centro</x:v>
      </x:c>
      <x:c r="M30" s="41" t="n">
        <x:v>1.28</x:v>
      </x:c>
      <x:c r="N30" s="42" t="n">
        <x:v>46292</x:v>
      </x:c>
      <x:c r="O30" s="43" t="n">
        <x:v>0.5833333333333334</x:v>
      </x:c>
      <x:c r="P30" s="43" t="n">
        <x:v>0.6458333333333334</x:v>
      </x:c>
      <x:c r="Q30" s="39" t="n">
        <x:v>45</x:v>
      </x:c>
      <x:c r="R30" s="44" t="n">
        <x:v>34400</x:v>
      </x:c>
      <x:c r="S30" s="39" t="str">
        <x:v>Medio</x:v>
      </x:c>
      <x:c r="T30" s="45" t="n">
        <x:v>0.4</x:v>
      </x:c>
      <x:c r="U30" s="39" t="n">
        <x:v>0</x:v>
      </x:c>
      <x:c r="V30" s="44" t="n">
        <x:v>0</x:v>
      </x:c>
      <x:c r="W30" s="39" t="str">
        <x:v>No</x:v>
      </x:c>
      <x:c r="X30" s="42"/>
      <x:c r="Y30" s="39" t="str">
        <x:v>No aplica</x:v>
      </x:c>
      <x:c r="Z30" s="39" t="n">
        <x:v>0</x:v>
      </x:c>
      <x:c r="AA30" s="39" t="str">
        <x:v>Respondió</x:v>
      </x:c>
      <x:c r="AB30" s="39" t="str">
        <x:v>Sí</x:v>
      </x:c>
      <x:c r="AC30" s="39" t="str">
        <x:v>No</x:v>
      </x:c>
      <x:c r="AD30" s="46" t="n">
        <x:f>IF(C30="COMERCIAL",IF(AC30="Sí",40,0)+IF(D30="Recurrente",15,0)+IF(S30="Alto",25,IF(S30="Medio",12,0))+IF(R30&gt;=30000,20,IF(R30&gt;=10000,12,IF(R30&gt;=5000,6,0)))+IF(N30&lt;=Metadatos!$B$13+1,25,0)+IF(AB30="Sí",15,0)+IF(AA30="No responde",-10,0),IF(Y30="Incumplido",40,0)+IF(AND(W30="Sí",X30=Metadatos!$B$13),35,0)+IF(V30&gt;=20000,25,IF(V30&gt;=10000,18,IF(V30&gt;=5000,10,0)))+IF(U30&gt;=15,25,IF(U30&gt;=6,20,IF(U30&gt;=3,10,0)))+IF(Z30&gt;=3,20,IF(Z30&gt;=2,10,0))+IF(AA30="Respondió",-10,0)+IF(AND(Y30="Vigente",X30&gt;Metadatos!$B$13),-10,0))</x:f>
        <x:v>87</x:v>
      </x:c>
      <x:c r="AE30" s="39" t="str">
        <x:f>IF(AD30&gt;=70,"P1",IF(AD30&gt;=50,"P2",IF(AD30&gt;=30,"P3","P4")))</x:f>
        <x:v>P1</x:v>
      </x:c>
      <x:c r="AF30" s="39" t="str">
        <x:v>Cliente recurrente con oportunidad activa</x:v>
      </x:c>
      <x:c r="AG30" s="39" t="str">
        <x:v>Pendiente</x:v>
      </x:c>
      <x:c r="AH30" s="39" t="str">
        <x:v>https://www.google.com/maps?q=-5.202854,-80.640828</x:v>
      </x:c>
      <x:c r="AI30" s="39" t="str">
        <x:v>SINTÉTICO</x:v>
      </x:c>
    </x:row>
    <x:row r="31">
      <x:c r="A31" s="39" t="str">
        <x:v>CLI-030</x:v>
      </x:c>
      <x:c r="B31" s="39" t="str">
        <x:v>Cliente 030</x:v>
      </x:c>
      <x:c r="C31" s="39" t="str">
        <x:v>COBRANZA</x:v>
      </x:c>
      <x:c r="D31" s="39" t="str">
        <x:v>Deudor</x:v>
      </x:c>
      <x:c r="E31" s="39" t="str">
        <x:v>Cobranza de crédito</x:v>
      </x:c>
      <x:c r="F31" s="39" t="str">
        <x:v>Recuperación</x:v>
      </x:c>
      <x:c r="G31" s="40" t="n">
        <x:v>-5.195638</x:v>
      </x:c>
      <x:c r="H31" s="40" t="n">
        <x:v>-80.641124</x:v>
      </x:c>
      <x:c r="I31" s="39" t="str">
        <x:v>Piura</x:v>
      </x:c>
      <x:c r="J31" s="39" t="str">
        <x:v>Piura</x:v>
      </x:c>
      <x:c r="K31" s="39" t="str">
        <x:v>AG01</x:v>
      </x:c>
      <x:c r="L31" s="39" t="str">
        <x:v>Mibanco Piura Centro</x:v>
      </x:c>
      <x:c r="M31" s="41" t="n">
        <x:v>0.93</x:v>
      </x:c>
      <x:c r="N31" s="42" t="n">
        <x:v>46291</x:v>
      </x:c>
      <x:c r="O31" s="43" t="n">
        <x:v>0.4791666666666667</x:v>
      </x:c>
      <x:c r="P31" s="43" t="n">
        <x:v>0.5208333333333334</x:v>
      </x:c>
      <x:c r="Q31" s="39" t="n">
        <x:v>30</x:v>
      </x:c>
      <x:c r="R31" s="44" t="n">
        <x:v>0</x:v>
      </x:c>
      <x:c r="S31" s="39" t="str">
        <x:v>No aplica</x:v>
      </x:c>
      <x:c r="T31" s="45" t="n">
        <x:v>0</x:v>
      </x:c>
      <x:c r="U31" s="39" t="n">
        <x:v>7</x:v>
      </x:c>
      <x:c r="V31" s="44" t="n">
        <x:v>12000</x:v>
      </x:c>
      <x:c r="W31" s="39" t="str">
        <x:v>Sí</x:v>
      </x:c>
      <x:c r="X31" s="42" t="n">
        <x:v>46288</x:v>
      </x:c>
      <x:c r="Y31" s="39" t="str">
        <x:v>Incumplido</x:v>
      </x:c>
      <x:c r="Z31" s="39" t="n">
        <x:v>2</x:v>
      </x:c>
      <x:c r="AA31" s="39" t="str">
        <x:v>Respondió</x:v>
      </x:c>
      <x:c r="AB31" s="39" t="str">
        <x:v>No</x:v>
      </x:c>
      <x:c r="AC31" s="39" t="str">
        <x:v>No</x:v>
      </x:c>
      <x:c r="AD31" s="46" t="n">
        <x:f>IF(C31="COMERCIAL",IF(AC31="Sí",40,0)+IF(D31="Recurrente",15,0)+IF(S31="Alto",25,IF(S31="Medio",12,0))+IF(R31&gt;=30000,20,IF(R31&gt;=10000,12,IF(R31&gt;=5000,6,0)))+IF(N31&lt;=Metadatos!$B$13+1,25,0)+IF(AB31="Sí",15,0)+IF(AA31="No responde",-10,0),IF(Y31="Incumplido",40,0)+IF(AND(W31="Sí",X31=Metadatos!$B$13),35,0)+IF(V31&gt;=20000,25,IF(V31&gt;=10000,18,IF(V31&gt;=5000,10,0)))+IF(U31&gt;=15,25,IF(U31&gt;=6,20,IF(U31&gt;=3,10,0)))+IF(Z31&gt;=3,20,IF(Z31&gt;=2,10,0))+IF(AA31="Respondió",-10,0)+IF(AND(Y31="Vigente",X31&gt;Metadatos!$B$13),-10,0))</x:f>
        <x:v>78</x:v>
      </x:c>
      <x:c r="AE31" s="39" t="str">
        <x:f>IF(AD31&gt;=70,"P1",IF(AD31&gt;=50,"P2",IF(AD31&gt;=30,"P3","P4")))</x:f>
        <x:v>P1</x:v>
      </x:c>
      <x:c r="AF31" s="39" t="str">
        <x:v>Compromiso de pago incumplido</x:v>
      </x:c>
      <x:c r="AG31" s="39" t="str">
        <x:v>Pendiente</x:v>
      </x:c>
      <x:c r="AH31" s="39" t="str">
        <x:v>https://www.google.com/maps?q=-5.195638,-80.641124</x:v>
      </x:c>
      <x:c r="AI31" s="39" t="str">
        <x:v>SINTÉTICO</x:v>
      </x:c>
    </x:row>
    <x:row r="32">
      <x:c r="A32" s="39" t="str">
        <x:v>CLI-031</x:v>
      </x:c>
      <x:c r="B32" s="39" t="str">
        <x:v>Cliente 031</x:v>
      </x:c>
      <x:c r="C32" s="39" t="str">
        <x:v>COMERCIAL</x:v>
      </x:c>
      <x:c r="D32" s="39" t="str">
        <x:v>Nuevo</x:v>
      </x:c>
      <x:c r="E32" s="39" t="str">
        <x:v>Ahorro</x:v>
      </x:c>
      <x:c r="F32" s="39" t="str">
        <x:v>Cierre</x:v>
      </x:c>
      <x:c r="G32" s="40" t="n">
        <x:v>-5.189551</x:v>
      </x:c>
      <x:c r="H32" s="40" t="n">
        <x:v>-80.61147</x:v>
      </x:c>
      <x:c r="I32" s="39" t="str">
        <x:v>Piura</x:v>
      </x:c>
      <x:c r="J32" s="39" t="str">
        <x:v>Piura</x:v>
      </x:c>
      <x:c r="K32" s="39" t="str">
        <x:v>AG01</x:v>
      </x:c>
      <x:c r="L32" s="39" t="str">
        <x:v>Mibanco Piura Centro</x:v>
      </x:c>
      <x:c r="M32" s="41" t="n">
        <x:v>2.43</x:v>
      </x:c>
      <x:c r="N32" s="42" t="n">
        <x:v>46291</x:v>
      </x:c>
      <x:c r="O32" s="43" t="n">
        <x:v>0.5</x:v>
      </x:c>
      <x:c r="P32" s="43" t="n">
        <x:v>0.5833333333333334</x:v>
      </x:c>
      <x:c r="Q32" s="39" t="n">
        <x:v>45</x:v>
      </x:c>
      <x:c r="R32" s="44" t="n">
        <x:v>31500</x:v>
      </x:c>
      <x:c r="S32" s="39" t="str">
        <x:v>Alto</x:v>
      </x:c>
      <x:c r="T32" s="45" t="n">
        <x:v>0.87</x:v>
      </x:c>
      <x:c r="U32" s="39" t="n">
        <x:v>0</x:v>
      </x:c>
      <x:c r="V32" s="44" t="n">
        <x:v>0</x:v>
      </x:c>
      <x:c r="W32" s="39" t="str">
        <x:v>No</x:v>
      </x:c>
      <x:c r="X32" s="42"/>
      <x:c r="Y32" s="39" t="str">
        <x:v>No aplica</x:v>
      </x:c>
      <x:c r="Z32" s="39" t="n">
        <x:v>0</x:v>
      </x:c>
      <x:c r="AA32" s="39" t="str">
        <x:v>Respondió</x:v>
      </x:c>
      <x:c r="AB32" s="39" t="str">
        <x:v>Sí</x:v>
      </x:c>
      <x:c r="AC32" s="39" t="str">
        <x:v>Sí</x:v>
      </x:c>
      <x:c r="AD32" s="46" t="n">
        <x:f>IF(C32="COMERCIAL",IF(AC32="Sí",40,0)+IF(D32="Recurrente",15,0)+IF(S32="Alto",25,IF(S32="Medio",12,0))+IF(R32&gt;=30000,20,IF(R32&gt;=10000,12,IF(R32&gt;=5000,6,0)))+IF(N32&lt;=Metadatos!$B$13+1,25,0)+IF(AB32="Sí",15,0)+IF(AA32="No responde",-10,0),IF(Y32="Incumplido",40,0)+IF(AND(W32="Sí",X32=Metadatos!$B$13),35,0)+IF(V32&gt;=20000,25,IF(V32&gt;=10000,18,IF(V32&gt;=5000,10,0)))+IF(U32&gt;=15,25,IF(U32&gt;=6,20,IF(U32&gt;=3,10,0)))+IF(Z32&gt;=3,20,IF(Z32&gt;=2,10,0))+IF(AA32="Respondió",-10,0)+IF(AND(Y32="Vigente",X32&gt;Metadatos!$B$13),-10,0))</x:f>
        <x:v>125</x:v>
      </x:c>
      <x:c r="AE32" s="39" t="str">
        <x:f>IF(AD32&gt;=70,"P1",IF(AD32&gt;=50,"P2",IF(AD32&gt;=30,"P3","P4")))</x:f>
        <x:v>P1</x:v>
      </x:c>
      <x:c r="AF32" s="39" t="str">
        <x:v>Operación comercial prevista hoy</x:v>
      </x:c>
      <x:c r="AG32" s="39" t="str">
        <x:v>Programada</x:v>
      </x:c>
      <x:c r="AH32" s="39" t="str">
        <x:v>https://www.google.com/maps?q=-5.189551,-80.611470</x:v>
      </x:c>
      <x:c r="AI32" s="39" t="str">
        <x:v>SINTÉTICO</x:v>
      </x:c>
    </x:row>
    <x:row r="33">
      <x:c r="A33" s="39" t="str">
        <x:v>CLI-032</x:v>
      </x:c>
      <x:c r="B33" s="39" t="str">
        <x:v>Cliente 032</x:v>
      </x:c>
      <x:c r="C33" s="39" t="str">
        <x:v>COBRANZA</x:v>
      </x:c>
      <x:c r="D33" s="39" t="str">
        <x:v>Deudor</x:v>
      </x:c>
      <x:c r="E33" s="39" t="str">
        <x:v>Cobranza de crédito</x:v>
      </x:c>
      <x:c r="F33" s="39" t="str">
        <x:v>Recuperación</x:v>
      </x:c>
      <x:c r="G33" s="40" t="n">
        <x:v>-5.196478</x:v>
      </x:c>
      <x:c r="H33" s="40" t="n">
        <x:v>-80.660703</x:v>
      </x:c>
      <x:c r="I33" s="39" t="str">
        <x:v>Piura</x:v>
      </x:c>
      <x:c r="J33" s="39" t="str">
        <x:v>Piura</x:v>
      </x:c>
      <x:c r="K33" s="39" t="str">
        <x:v>AG01</x:v>
      </x:c>
      <x:c r="L33" s="39" t="str">
        <x:v>Mibanco Piura Centro</x:v>
      </x:c>
      <x:c r="M33" s="41" t="n">
        <x:v>3.1</x:v>
      </x:c>
      <x:c r="N33" s="42" t="n">
        <x:v>46292</x:v>
      </x:c>
      <x:c r="O33" s="43" t="n">
        <x:v>0.3958333333333333</x:v>
      </x:c>
      <x:c r="P33" s="43" t="n">
        <x:v>0.4791666666666667</x:v>
      </x:c>
      <x:c r="Q33" s="39" t="n">
        <x:v>60</x:v>
      </x:c>
      <x:c r="R33" s="44" t="n">
        <x:v>0</x:v>
      </x:c>
      <x:c r="S33" s="39" t="str">
        <x:v>No aplica</x:v>
      </x:c>
      <x:c r="T33" s="45" t="n">
        <x:v>0</x:v>
      </x:c>
      <x:c r="U33" s="39" t="n">
        <x:v>8</x:v>
      </x:c>
      <x:c r="V33" s="44" t="n">
        <x:v>3400</x:v>
      </x:c>
      <x:c r="W33" s="39" t="str">
        <x:v>No</x:v>
      </x:c>
      <x:c r="X33" s="42"/>
      <x:c r="Y33" s="39" t="str">
        <x:v>Sin compromiso</x:v>
      </x:c>
      <x:c r="Z33" s="39" t="n">
        <x:v>3</x:v>
      </x:c>
      <x:c r="AA33" s="39" t="str">
        <x:v>No responde</x:v>
      </x:c>
      <x:c r="AB33" s="39" t="str">
        <x:v>No</x:v>
      </x:c>
      <x:c r="AC33" s="39" t="str">
        <x:v>No</x:v>
      </x:c>
      <x:c r="AD33" s="46" t="n">
        <x:f>IF(C33="COMERCIAL",IF(AC33="Sí",40,0)+IF(D33="Recurrente",15,0)+IF(S33="Alto",25,IF(S33="Medio",12,0))+IF(R33&gt;=30000,20,IF(R33&gt;=10000,12,IF(R33&gt;=5000,6,0)))+IF(N33&lt;=Metadatos!$B$13+1,25,0)+IF(AB33="Sí",15,0)+IF(AA33="No responde",-10,0),IF(Y33="Incumplido",40,0)+IF(AND(W33="Sí",X33=Metadatos!$B$13),35,0)+IF(V33&gt;=20000,25,IF(V33&gt;=10000,18,IF(V33&gt;=5000,10,0)))+IF(U33&gt;=15,25,IF(U33&gt;=6,20,IF(U33&gt;=3,10,0)))+IF(Z33&gt;=3,20,IF(Z33&gt;=2,10,0))+IF(AA33="Respondió",-10,0)+IF(AND(Y33="Vigente",X33&gt;Metadatos!$B$13),-10,0))</x:f>
        <x:v>40</x:v>
      </x:c>
      <x:c r="AE33" s="39" t="str">
        <x:f>IF(AD33&gt;=70,"P1",IF(AD33&gt;=50,"P2",IF(AD33&gt;=30,"P3","P4")))</x:f>
        <x:v>P3</x:v>
      </x:c>
      <x:c r="AF33" s="39" t="str">
        <x:v>Varios intentos sin respuesta</x:v>
      </x:c>
      <x:c r="AG33" s="39" t="str">
        <x:v>Pendiente</x:v>
      </x:c>
      <x:c r="AH33" s="39" t="str">
        <x:v>https://www.google.com/maps?q=-5.196478,-80.660703</x:v>
      </x:c>
      <x:c r="AI33" s="39" t="str">
        <x:v>SINTÉTICO</x:v>
      </x:c>
    </x:row>
    <x:row r="34">
      <x:c r="A34" s="39" t="str">
        <x:v>CLI-033</x:v>
      </x:c>
      <x:c r="B34" s="39" t="str">
        <x:v>Cliente 033</x:v>
      </x:c>
      <x:c r="C34" s="39" t="str">
        <x:v>COMERCIAL</x:v>
      </x:c>
      <x:c r="D34" s="39" t="str">
        <x:v>Recurrente</x:v>
      </x:c>
      <x:c r="E34" s="39" t="str">
        <x:v>Seguro</x:v>
      </x:c>
      <x:c r="F34" s="39" t="str">
        <x:v>Contactado</x:v>
      </x:c>
      <x:c r="G34" s="40" t="n">
        <x:v>-5.169023</x:v>
      </x:c>
      <x:c r="H34" s="40" t="n">
        <x:v>-80.630101</x:v>
      </x:c>
      <x:c r="I34" s="39" t="str">
        <x:v>Piura</x:v>
      </x:c>
      <x:c r="J34" s="39" t="str">
        <x:v>Piura</x:v>
      </x:c>
      <x:c r="K34" s="39" t="str">
        <x:v>AG01</x:v>
      </x:c>
      <x:c r="L34" s="39" t="str">
        <x:v>Mibanco Piura Centro</x:v>
      </x:c>
      <x:c r="M34" s="41" t="n">
        <x:v>2.87</x:v>
      </x:c>
      <x:c r="N34" s="42" t="n">
        <x:v>46293</x:v>
      </x:c>
      <x:c r="O34" s="43" t="n">
        <x:v>0.6041666666666666</x:v>
      </x:c>
      <x:c r="P34" s="43" t="n">
        <x:v>0.6458333333333334</x:v>
      </x:c>
      <x:c r="Q34" s="39" t="n">
        <x:v>30</x:v>
      </x:c>
      <x:c r="R34" s="44" t="n">
        <x:v>29500</x:v>
      </x:c>
      <x:c r="S34" s="39" t="str">
        <x:v>Bajo</x:v>
      </x:c>
      <x:c r="T34" s="45" t="n">
        <x:v>0.2</x:v>
      </x:c>
      <x:c r="U34" s="39" t="n">
        <x:v>0</x:v>
      </x:c>
      <x:c r="V34" s="44" t="n">
        <x:v>0</x:v>
      </x:c>
      <x:c r="W34" s="39" t="str">
        <x:v>No</x:v>
      </x:c>
      <x:c r="X34" s="42"/>
      <x:c r="Y34" s="39" t="str">
        <x:v>No aplica</x:v>
      </x:c>
      <x:c r="Z34" s="39" t="n">
        <x:v>0</x:v>
      </x:c>
      <x:c r="AA34" s="39" t="str">
        <x:v>No responde</x:v>
      </x:c>
      <x:c r="AB34" s="39" t="str">
        <x:v>No</x:v>
      </x:c>
      <x:c r="AC34" s="39" t="str">
        <x:v>No</x:v>
      </x:c>
      <x:c r="AD34" s="46" t="n">
        <x:f>IF(C34="COMERCIAL",IF(AC34="Sí",40,0)+IF(D34="Recurrente",15,0)+IF(S34="Alto",25,IF(S34="Medio",12,0))+IF(R34&gt;=30000,20,IF(R34&gt;=10000,12,IF(R34&gt;=5000,6,0)))+IF(N34&lt;=Metadatos!$B$13+1,25,0)+IF(AB34="Sí",15,0)+IF(AA34="No responde",-10,0),IF(Y34="Incumplido",40,0)+IF(AND(W34="Sí",X34=Metadatos!$B$13),35,0)+IF(V34&gt;=20000,25,IF(V34&gt;=10000,18,IF(V34&gt;=5000,10,0)))+IF(U34&gt;=15,25,IF(U34&gt;=6,20,IF(U34&gt;=3,10,0)))+IF(Z34&gt;=3,20,IF(Z34&gt;=2,10,0))+IF(AA34="Respondió",-10,0)+IF(AND(Y34="Vigente",X34&gt;Metadatos!$B$13),-10,0))</x:f>
        <x:v>17</x:v>
      </x:c>
      <x:c r="AE34" s="39" t="str">
        <x:f>IF(AD34&gt;=70,"P1",IF(AD34&gt;=50,"P2",IF(AD34&gt;=30,"P3","P4")))</x:f>
        <x:v>P4</x:v>
      </x:c>
      <x:c r="AF34" s="39" t="str">
        <x:v>Prospecto sin urgencia inmediata</x:v>
      </x:c>
      <x:c r="AG34" s="39" t="str">
        <x:v>Pendiente</x:v>
      </x:c>
      <x:c r="AH34" s="39" t="str">
        <x:v>https://www.google.com/maps?q=-5.169023,-80.630101</x:v>
      </x:c>
      <x:c r="AI34" s="39" t="str">
        <x:v>SINTÉTICO</x:v>
      </x:c>
    </x:row>
    <x:row r="35">
      <x:c r="A35" s="39" t="str">
        <x:v>CLI-034</x:v>
      </x:c>
      <x:c r="B35" s="39" t="str">
        <x:v>Cliente 034</x:v>
      </x:c>
      <x:c r="C35" s="39" t="str">
        <x:v>COBRANZA</x:v>
      </x:c>
      <x:c r="D35" s="39" t="str">
        <x:v>Deudor</x:v>
      </x:c>
      <x:c r="E35" s="39" t="str">
        <x:v>Cobranza de crédito</x:v>
      </x:c>
      <x:c r="F35" s="39" t="str">
        <x:v>Recuperación</x:v>
      </x:c>
      <x:c r="G35" s="40" t="n">
        <x:v>-5.191768</x:v>
      </x:c>
      <x:c r="H35" s="40" t="n">
        <x:v>-80.644249</x:v>
      </x:c>
      <x:c r="I35" s="39" t="str">
        <x:v>Piura</x:v>
      </x:c>
      <x:c r="J35" s="39" t="str">
        <x:v>Piura</x:v>
      </x:c>
      <x:c r="K35" s="39" t="str">
        <x:v>AG01</x:v>
      </x:c>
      <x:c r="L35" s="39" t="str">
        <x:v>Mibanco Piura Centro</x:v>
      </x:c>
      <x:c r="M35" s="41" t="n">
        <x:v>1.31</x:v>
      </x:c>
      <x:c r="N35" s="42" t="n">
        <x:v>46291</x:v>
      </x:c>
      <x:c r="O35" s="43" t="n">
        <x:v>0.4583333333333333</x:v>
      </x:c>
      <x:c r="P35" s="43" t="n">
        <x:v>0.5208333333333334</x:v>
      </x:c>
      <x:c r="Q35" s="39" t="n">
        <x:v>30</x:v>
      </x:c>
      <x:c r="R35" s="44" t="n">
        <x:v>0</x:v>
      </x:c>
      <x:c r="S35" s="39" t="str">
        <x:v>No aplica</x:v>
      </x:c>
      <x:c r="T35" s="45" t="n">
        <x:v>0</x:v>
      </x:c>
      <x:c r="U35" s="39" t="n">
        <x:v>8</x:v>
      </x:c>
      <x:c r="V35" s="44" t="n">
        <x:v>18500</x:v>
      </x:c>
      <x:c r="W35" s="39" t="str">
        <x:v>Sí</x:v>
      </x:c>
      <x:c r="X35" s="42" t="n">
        <x:v>46294</x:v>
      </x:c>
      <x:c r="Y35" s="39" t="str">
        <x:v>Vigente</x:v>
      </x:c>
      <x:c r="Z35" s="39" t="n">
        <x:v>3</x:v>
      </x:c>
      <x:c r="AA35" s="39" t="str">
        <x:v>No responde</x:v>
      </x:c>
      <x:c r="AB35" s="39" t="str">
        <x:v>No</x:v>
      </x:c>
      <x:c r="AC35" s="39" t="str">
        <x:v>No</x:v>
      </x:c>
      <x:c r="AD35" s="46" t="n">
        <x:f>IF(C35="COMERCIAL",IF(AC35="Sí",40,0)+IF(D35="Recurrente",15,0)+IF(S35="Alto",25,IF(S35="Medio",12,0))+IF(R35&gt;=30000,20,IF(R35&gt;=10000,12,IF(R35&gt;=5000,6,0)))+IF(N35&lt;=Metadatos!$B$13+1,25,0)+IF(AB35="Sí",15,0)+IF(AA35="No responde",-10,0),IF(Y35="Incumplido",40,0)+IF(AND(W35="Sí",X35=Metadatos!$B$13),35,0)+IF(V35&gt;=20000,25,IF(V35&gt;=10000,18,IF(V35&gt;=5000,10,0)))+IF(U35&gt;=15,25,IF(U35&gt;=6,20,IF(U35&gt;=3,10,0)))+IF(Z35&gt;=3,20,IF(Z35&gt;=2,10,0))+IF(AA35="Respondió",-10,0)+IF(AND(Y35="Vigente",X35&gt;Metadatos!$B$13),-10,0))</x:f>
        <x:v>48</x:v>
      </x:c>
      <x:c r="AE35" s="39" t="str">
        <x:f>IF(AD35&gt;=70,"P1",IF(AD35&gt;=50,"P2",IF(AD35&gt;=30,"P3","P4")))</x:f>
        <x:v>P3</x:v>
      </x:c>
      <x:c r="AF35" s="39" t="str">
        <x:v>Varios intentos sin respuesta</x:v>
      </x:c>
      <x:c r="AG35" s="39" t="str">
        <x:v>Pendiente</x:v>
      </x:c>
      <x:c r="AH35" s="39" t="str">
        <x:v>https://www.google.com/maps?q=-5.191768,-80.644249</x:v>
      </x:c>
      <x:c r="AI35" s="39" t="str">
        <x:v>SINTÉTICO</x:v>
      </x:c>
    </x:row>
    <x:row r="36">
      <x:c r="A36" s="39" t="str">
        <x:v>CLI-035</x:v>
      </x:c>
      <x:c r="B36" s="39" t="str">
        <x:v>Cliente 035</x:v>
      </x:c>
      <x:c r="C36" s="39" t="str">
        <x:v>COMERCIAL</x:v>
      </x:c>
      <x:c r="D36" s="39" t="str">
        <x:v>Recurrente</x:v>
      </x:c>
      <x:c r="E36" s="39" t="str">
        <x:v>Capital de trabajo</x:v>
      </x:c>
      <x:c r="F36" s="39" t="str">
        <x:v>Contactado</x:v>
      </x:c>
      <x:c r="G36" s="40" t="n">
        <x:v>-5.22051</x:v>
      </x:c>
      <x:c r="H36" s="40" t="n">
        <x:v>-80.644732</x:v>
      </x:c>
      <x:c r="I36" s="39" t="str">
        <x:v>Piura</x:v>
      </x:c>
      <x:c r="J36" s="39" t="str">
        <x:v>Piura</x:v>
      </x:c>
      <x:c r="K36" s="39" t="str">
        <x:v>AG01</x:v>
      </x:c>
      <x:c r="L36" s="39" t="str">
        <x:v>Mibanco Piura Centro</x:v>
      </x:c>
      <x:c r="M36" s="41" t="n">
        <x:v>3.17</x:v>
      </x:c>
      <x:c r="N36" s="42" t="n">
        <x:v>46292</x:v>
      </x:c>
      <x:c r="O36" s="43" t="n">
        <x:v>0.6041666666666666</x:v>
      </x:c>
      <x:c r="P36" s="43" t="n">
        <x:v>0.6458333333333334</x:v>
      </x:c>
      <x:c r="Q36" s="39" t="n">
        <x:v>50</x:v>
      </x:c>
      <x:c r="R36" s="44" t="n">
        <x:v>4400</x:v>
      </x:c>
      <x:c r="S36" s="39" t="str">
        <x:v>Medio</x:v>
      </x:c>
      <x:c r="T36" s="45" t="n">
        <x:v>0.38</x:v>
      </x:c>
      <x:c r="U36" s="39" t="n">
        <x:v>0</x:v>
      </x:c>
      <x:c r="V36" s="44" t="n">
        <x:v>0</x:v>
      </x:c>
      <x:c r="W36" s="39" t="str">
        <x:v>No</x:v>
      </x:c>
      <x:c r="X36" s="42"/>
      <x:c r="Y36" s="39" t="str">
        <x:v>No aplica</x:v>
      </x:c>
      <x:c r="Z36" s="39" t="n">
        <x:v>0</x:v>
      </x:c>
      <x:c r="AA36" s="39" t="str">
        <x:v>No responde</x:v>
      </x:c>
      <x:c r="AB36" s="39" t="str">
        <x:v>No</x:v>
      </x:c>
      <x:c r="AC36" s="39" t="str">
        <x:v>No</x:v>
      </x:c>
      <x:c r="AD36" s="46" t="n">
        <x:f>IF(C36="COMERCIAL",IF(AC36="Sí",40,0)+IF(D36="Recurrente",15,0)+IF(S36="Alto",25,IF(S36="Medio",12,0))+IF(R36&gt;=30000,20,IF(R36&gt;=10000,12,IF(R36&gt;=5000,6,0)))+IF(N36&lt;=Metadatos!$B$13+1,25,0)+IF(AB36="Sí",15,0)+IF(AA36="No responde",-10,0),IF(Y36="Incumplido",40,0)+IF(AND(W36="Sí",X36=Metadatos!$B$13),35,0)+IF(V36&gt;=20000,25,IF(V36&gt;=10000,18,IF(V36&gt;=5000,10,0)))+IF(U36&gt;=15,25,IF(U36&gt;=6,20,IF(U36&gt;=3,10,0)))+IF(Z36&gt;=3,20,IF(Z36&gt;=2,10,0))+IF(AA36="Respondió",-10,0)+IF(AND(Y36="Vigente",X36&gt;Metadatos!$B$13),-10,0))</x:f>
        <x:v>42</x:v>
      </x:c>
      <x:c r="AE36" s="39" t="str">
        <x:f>IF(AD36&gt;=70,"P1",IF(AD36&gt;=50,"P2",IF(AD36&gt;=30,"P3","P4")))</x:f>
        <x:v>P3</x:v>
      </x:c>
      <x:c r="AF36" s="39" t="str">
        <x:v>Cliente recurrente con oportunidad activa</x:v>
      </x:c>
      <x:c r="AG36" s="39" t="str">
        <x:v>Pendiente</x:v>
      </x:c>
      <x:c r="AH36" s="39" t="str">
        <x:v>https://www.google.com/maps?q=-5.220510,-80.644732</x:v>
      </x:c>
      <x:c r="AI36" s="39" t="str">
        <x:v>SINTÉTICO</x:v>
      </x:c>
    </x:row>
    <x:row r="37">
      <x:c r="A37" s="39" t="str">
        <x:v>CLI-036</x:v>
      </x:c>
      <x:c r="B37" s="39" t="str">
        <x:v>Cliente 036</x:v>
      </x:c>
      <x:c r="C37" s="39" t="str">
        <x:v>COBRANZA</x:v>
      </x:c>
      <x:c r="D37" s="39" t="str">
        <x:v>Deudor</x:v>
      </x:c>
      <x:c r="E37" s="39" t="str">
        <x:v>Cobranza de crédito</x:v>
      </x:c>
      <x:c r="F37" s="39" t="str">
        <x:v>Recuperación</x:v>
      </x:c>
      <x:c r="G37" s="40" t="n">
        <x:v>-5.194633</x:v>
      </x:c>
      <x:c r="H37" s="40" t="n">
        <x:v>-80.620831</x:v>
      </x:c>
      <x:c r="I37" s="39" t="str">
        <x:v>Piura</x:v>
      </x:c>
      <x:c r="J37" s="39" t="str">
        <x:v>Piura</x:v>
      </x:c>
      <x:c r="K37" s="39" t="str">
        <x:v>AG01</x:v>
      </x:c>
      <x:c r="L37" s="39" t="str">
        <x:v>Mibanco Piura Centro</x:v>
      </x:c>
      <x:c r="M37" s="41" t="n">
        <x:v>1.33</x:v>
      </x:c>
      <x:c r="N37" s="42" t="n">
        <x:v>46293</x:v>
      </x:c>
      <x:c r="O37" s="43" t="n">
        <x:v>0.4583333333333333</x:v>
      </x:c>
      <x:c r="P37" s="43" t="n">
        <x:v>0.5</x:v>
      </x:c>
      <x:c r="Q37" s="39" t="n">
        <x:v>45</x:v>
      </x:c>
      <x:c r="R37" s="44" t="n">
        <x:v>0</x:v>
      </x:c>
      <x:c r="S37" s="39" t="str">
        <x:v>No aplica</x:v>
      </x:c>
      <x:c r="T37" s="45" t="n">
        <x:v>0</x:v>
      </x:c>
      <x:c r="U37" s="39" t="n">
        <x:v>1</x:v>
      </x:c>
      <x:c r="V37" s="44" t="n">
        <x:v>1400</x:v>
      </x:c>
      <x:c r="W37" s="39" t="str">
        <x:v>No</x:v>
      </x:c>
      <x:c r="X37" s="42"/>
      <x:c r="Y37" s="39" t="str">
        <x:v>Sin compromiso</x:v>
      </x:c>
      <x:c r="Z37" s="39" t="n">
        <x:v>0</x:v>
      </x:c>
      <x:c r="AA37" s="39" t="str">
        <x:v>Respondió</x:v>
      </x:c>
      <x:c r="AB37" s="39" t="str">
        <x:v>No</x:v>
      </x:c>
      <x:c r="AC37" s="39" t="str">
        <x:v>No</x:v>
      </x:c>
      <x:c r="AD37" s="46" t="n">
        <x:f>IF(C37="COMERCIAL",IF(AC37="Sí",40,0)+IF(D37="Recurrente",15,0)+IF(S37="Alto",25,IF(S37="Medio",12,0))+IF(R37&gt;=30000,20,IF(R37&gt;=10000,12,IF(R37&gt;=5000,6,0)))+IF(N37&lt;=Metadatos!$B$13+1,25,0)+IF(AB37="Sí",15,0)+IF(AA37="No responde",-10,0),IF(Y37="Incumplido",40,0)+IF(AND(W37="Sí",X37=Metadatos!$B$13),35,0)+IF(V37&gt;=20000,25,IF(V37&gt;=10000,18,IF(V37&gt;=5000,10,0)))+IF(U37&gt;=15,25,IF(U37&gt;=6,20,IF(U37&gt;=3,10,0)))+IF(Z37&gt;=3,20,IF(Z37&gt;=2,10,0))+IF(AA37="Respondió",-10,0)+IF(AND(Y37="Vigente",X37&gt;Metadatos!$B$13),-10,0))</x:f>
        <x:v>-10</x:v>
      </x:c>
      <x:c r="AE37" s="39" t="str">
        <x:f>IF(AD37&gt;=70,"P1",IF(AD37&gt;=50,"P2",IF(AD37&gt;=30,"P3","P4")))</x:f>
        <x:v>P4</x:v>
      </x:c>
      <x:c r="AF37" s="39" t="str">
        <x:v>Mora reciente con seguimiento programable</x:v>
      </x:c>
      <x:c r="AG37" s="39" t="str">
        <x:v>Pendiente</x:v>
      </x:c>
      <x:c r="AH37" s="39" t="str">
        <x:v>https://www.google.com/maps?q=-5.194633,-80.620831</x:v>
      </x:c>
      <x:c r="AI37" s="39" t="str">
        <x:v>SINTÉTICO</x:v>
      </x:c>
    </x:row>
    <x:row r="38">
      <x:c r="A38" s="39" t="str">
        <x:v>CLI-037</x:v>
      </x:c>
      <x:c r="B38" s="39" t="str">
        <x:v>Cliente 037</x:v>
      </x:c>
      <x:c r="C38" s="39" t="str">
        <x:v>COMERCIAL</x:v>
      </x:c>
      <x:c r="D38" s="39" t="str">
        <x:v>Recurrente</x:v>
      </x:c>
      <x:c r="E38" s="39" t="str">
        <x:v>Ahorro</x:v>
      </x:c>
      <x:c r="F38" s="39" t="str">
        <x:v>Evaluación</x:v>
      </x:c>
      <x:c r="G38" s="40" t="n">
        <x:v>-5.184275</x:v>
      </x:c>
      <x:c r="H38" s="40" t="n">
        <x:v>-80.644272</x:v>
      </x:c>
      <x:c r="I38" s="39" t="str">
        <x:v>Piura</x:v>
      </x:c>
      <x:c r="J38" s="39" t="str">
        <x:v>Piura</x:v>
      </x:c>
      <x:c r="K38" s="39" t="str">
        <x:v>AG01</x:v>
      </x:c>
      <x:c r="L38" s="39" t="str">
        <x:v>Mibanco Piura Centro</x:v>
      </x:c>
      <x:c r="M38" s="41" t="n">
        <x:v>1.71</x:v>
      </x:c>
      <x:c r="N38" s="42" t="n">
        <x:v>46292</x:v>
      </x:c>
      <x:c r="O38" s="43" t="n">
        <x:v>0.5416666666666666</x:v>
      </x:c>
      <x:c r="P38" s="43" t="n">
        <x:v>0.6041666666666666</x:v>
      </x:c>
      <x:c r="Q38" s="39" t="n">
        <x:v>45</x:v>
      </x:c>
      <x:c r="R38" s="44" t="n">
        <x:v>12500</x:v>
      </x:c>
      <x:c r="S38" s="39" t="str">
        <x:v>Alto</x:v>
      </x:c>
      <x:c r="T38" s="45" t="n">
        <x:v>0.91</x:v>
      </x:c>
      <x:c r="U38" s="39" t="n">
        <x:v>0</x:v>
      </x:c>
      <x:c r="V38" s="44" t="n">
        <x:v>0</x:v>
      </x:c>
      <x:c r="W38" s="39" t="str">
        <x:v>No</x:v>
      </x:c>
      <x:c r="X38" s="42"/>
      <x:c r="Y38" s="39" t="str">
        <x:v>No aplica</x:v>
      </x:c>
      <x:c r="Z38" s="39" t="n">
        <x:v>0</x:v>
      </x:c>
      <x:c r="AA38" s="39" t="str">
        <x:v>Respondió</x:v>
      </x:c>
      <x:c r="AB38" s="39" t="str">
        <x:v>Sí</x:v>
      </x:c>
      <x:c r="AC38" s="39" t="str">
        <x:v>No</x:v>
      </x:c>
      <x:c r="AD38" s="46" t="n">
        <x:f>IF(C38="COMERCIAL",IF(AC38="Sí",40,0)+IF(D38="Recurrente",15,0)+IF(S38="Alto",25,IF(S38="Medio",12,0))+IF(R38&gt;=30000,20,IF(R38&gt;=10000,12,IF(R38&gt;=5000,6,0)))+IF(N38&lt;=Metadatos!$B$13+1,25,0)+IF(AB38="Sí",15,0)+IF(AA38="No responde",-10,0),IF(Y38="Incumplido",40,0)+IF(AND(W38="Sí",X38=Metadatos!$B$13),35,0)+IF(V38&gt;=20000,25,IF(V38&gt;=10000,18,IF(V38&gt;=5000,10,0)))+IF(U38&gt;=15,25,IF(U38&gt;=6,20,IF(U38&gt;=3,10,0)))+IF(Z38&gt;=3,20,IF(Z38&gt;=2,10,0))+IF(AA38="Respondió",-10,0)+IF(AND(Y38="Vigente",X38&gt;Metadatos!$B$13),-10,0))</x:f>
        <x:v>92</x:v>
      </x:c>
      <x:c r="AE38" s="39" t="str">
        <x:f>IF(AD38&gt;=70,"P1",IF(AD38&gt;=50,"P2",IF(AD38&gt;=30,"P3","P4")))</x:f>
        <x:v>P1</x:v>
      </x:c>
      <x:c r="AF38" s="39" t="str">
        <x:v>Cliente recurrente con oportunidad activa</x:v>
      </x:c>
      <x:c r="AG38" s="39" t="str">
        <x:v>Pendiente</x:v>
      </x:c>
      <x:c r="AH38" s="39" t="str">
        <x:v>https://www.google.com/maps?q=-5.184275,-80.644272</x:v>
      </x:c>
      <x:c r="AI38" s="39" t="str">
        <x:v>SINTÉTICO</x:v>
      </x:c>
    </x:row>
    <x:row r="39">
      <x:c r="A39" s="39" t="str">
        <x:v>CLI-038</x:v>
      </x:c>
      <x:c r="B39" s="39" t="str">
        <x:v>Cliente 038</x:v>
      </x:c>
      <x:c r="C39" s="39" t="str">
        <x:v>COBRANZA</x:v>
      </x:c>
      <x:c r="D39" s="39" t="str">
        <x:v>Deudor</x:v>
      </x:c>
      <x:c r="E39" s="39" t="str">
        <x:v>Cobranza de crédito</x:v>
      </x:c>
      <x:c r="F39" s="39" t="str">
        <x:v>Recuperación</x:v>
      </x:c>
      <x:c r="G39" s="40" t="n">
        <x:v>-5.172773</x:v>
      </x:c>
      <x:c r="H39" s="40" t="n">
        <x:v>-80.619263</x:v>
      </x:c>
      <x:c r="I39" s="39" t="str">
        <x:v>Piura</x:v>
      </x:c>
      <x:c r="J39" s="39" t="str">
        <x:v>Piura</x:v>
      </x:c>
      <x:c r="K39" s="39" t="str">
        <x:v>AG01</x:v>
      </x:c>
      <x:c r="L39" s="39" t="str">
        <x:v>Mibanco Piura Centro</x:v>
      </x:c>
      <x:c r="M39" s="41" t="n">
        <x:v>2.86</x:v>
      </x:c>
      <x:c r="N39" s="42" t="n">
        <x:v>46294</x:v>
      </x:c>
      <x:c r="O39" s="43" t="n">
        <x:v>0.4583333333333333</x:v>
      </x:c>
      <x:c r="P39" s="43" t="n">
        <x:v>0.5416666666666666</x:v>
      </x:c>
      <x:c r="Q39" s="39" t="n">
        <x:v>25</x:v>
      </x:c>
      <x:c r="R39" s="44" t="n">
        <x:v>0</x:v>
      </x:c>
      <x:c r="S39" s="39" t="str">
        <x:v>No aplica</x:v>
      </x:c>
      <x:c r="T39" s="45" t="n">
        <x:v>0</x:v>
      </x:c>
      <x:c r="U39" s="39" t="n">
        <x:v>2</x:v>
      </x:c>
      <x:c r="V39" s="44" t="n">
        <x:v>10100</x:v>
      </x:c>
      <x:c r="W39" s="39" t="str">
        <x:v>Sí</x:v>
      </x:c>
      <x:c r="X39" s="42" t="n">
        <x:v>46294</x:v>
      </x:c>
      <x:c r="Y39" s="39" t="str">
        <x:v>Vigente</x:v>
      </x:c>
      <x:c r="Z39" s="39" t="n">
        <x:v>1</x:v>
      </x:c>
      <x:c r="AA39" s="39" t="str">
        <x:v>Respondió</x:v>
      </x:c>
      <x:c r="AB39" s="39" t="str">
        <x:v>No</x:v>
      </x:c>
      <x:c r="AC39" s="39" t="str">
        <x:v>No</x:v>
      </x:c>
      <x:c r="AD39" s="46" t="n">
        <x:f>IF(C39="COMERCIAL",IF(AC39="Sí",40,0)+IF(D39="Recurrente",15,0)+IF(S39="Alto",25,IF(S39="Medio",12,0))+IF(R39&gt;=30000,20,IF(R39&gt;=10000,12,IF(R39&gt;=5000,6,0)))+IF(N39&lt;=Metadatos!$B$13+1,25,0)+IF(AB39="Sí",15,0)+IF(AA39="No responde",-10,0),IF(Y39="Incumplido",40,0)+IF(AND(W39="Sí",X39=Metadatos!$B$13),35,0)+IF(V39&gt;=20000,25,IF(V39&gt;=10000,18,IF(V39&gt;=5000,10,0)))+IF(U39&gt;=15,25,IF(U39&gt;=6,20,IF(U39&gt;=3,10,0)))+IF(Z39&gt;=3,20,IF(Z39&gt;=2,10,0))+IF(AA39="Respondió",-10,0)+IF(AND(Y39="Vigente",X39&gt;Metadatos!$B$13),-10,0))</x:f>
        <x:v>-2</x:v>
      </x:c>
      <x:c r="AE39" s="39" t="str">
        <x:f>IF(AD39&gt;=70,"P1",IF(AD39&gt;=50,"P2",IF(AD39&gt;=30,"P3","P4")))</x:f>
        <x:v>P4</x:v>
      </x:c>
      <x:c r="AF39" s="39" t="str">
        <x:v>Mora reciente con seguimiento programable</x:v>
      </x:c>
      <x:c r="AG39" s="39" t="str">
        <x:v>Pendiente</x:v>
      </x:c>
      <x:c r="AH39" s="39" t="str">
        <x:v>https://www.google.com/maps?q=-5.172773,-80.619263</x:v>
      </x:c>
      <x:c r="AI39" s="39" t="str">
        <x:v>SINTÉTICO</x:v>
      </x:c>
    </x:row>
    <x:row r="40">
      <x:c r="A40" s="39" t="str">
        <x:v>CLI-039</x:v>
      </x:c>
      <x:c r="B40" s="39" t="str">
        <x:v>Cliente 039</x:v>
      </x:c>
      <x:c r="C40" s="39" t="str">
        <x:v>COMERCIAL</x:v>
      </x:c>
      <x:c r="D40" s="39" t="str">
        <x:v>Recurrente</x:v>
      </x:c>
      <x:c r="E40" s="39" t="str">
        <x:v>Crédito personal</x:v>
      </x:c>
      <x:c r="F40" s="39" t="str">
        <x:v>Contactado</x:v>
      </x:c>
      <x:c r="G40" s="40" t="n">
        <x:v>-5.20415</x:v>
      </x:c>
      <x:c r="H40" s="40" t="n">
        <x:v>-80.643172</x:v>
      </x:c>
      <x:c r="I40" s="39" t="str">
        <x:v>Piura</x:v>
      </x:c>
      <x:c r="J40" s="39" t="str">
        <x:v>Piura</x:v>
      </x:c>
      <x:c r="K40" s="39" t="str">
        <x:v>AG01</x:v>
      </x:c>
      <x:c r="L40" s="39" t="str">
        <x:v>Mibanco Piura Centro</x:v>
      </x:c>
      <x:c r="M40" s="41" t="n">
        <x:v>1.56</x:v>
      </x:c>
      <x:c r="N40" s="42" t="n">
        <x:v>46294</x:v>
      </x:c>
      <x:c r="O40" s="43" t="n">
        <x:v>0.5833333333333334</x:v>
      </x:c>
      <x:c r="P40" s="43" t="n">
        <x:v>0.625</x:v>
      </x:c>
      <x:c r="Q40" s="39" t="n">
        <x:v>40</x:v>
      </x:c>
      <x:c r="R40" s="44" t="n">
        <x:v>21600</x:v>
      </x:c>
      <x:c r="S40" s="39" t="str">
        <x:v>Medio</x:v>
      </x:c>
      <x:c r="T40" s="45" t="n">
        <x:v>0.38</x:v>
      </x:c>
      <x:c r="U40" s="39" t="n">
        <x:v>0</x:v>
      </x:c>
      <x:c r="V40" s="44" t="n">
        <x:v>0</x:v>
      </x:c>
      <x:c r="W40" s="39" t="str">
        <x:v>No</x:v>
      </x:c>
      <x:c r="X40" s="42"/>
      <x:c r="Y40" s="39" t="str">
        <x:v>No aplica</x:v>
      </x:c>
      <x:c r="Z40" s="39" t="n">
        <x:v>0</x:v>
      </x:c>
      <x:c r="AA40" s="39" t="str">
        <x:v>Respondió</x:v>
      </x:c>
      <x:c r="AB40" s="39" t="str">
        <x:v>Sí</x:v>
      </x:c>
      <x:c r="AC40" s="39" t="str">
        <x:v>No</x:v>
      </x:c>
      <x:c r="AD40" s="46" t="n">
        <x:f>IF(C40="COMERCIAL",IF(AC40="Sí",40,0)+IF(D40="Recurrente",15,0)+IF(S40="Alto",25,IF(S40="Medio",12,0))+IF(R40&gt;=30000,20,IF(R40&gt;=10000,12,IF(R40&gt;=5000,6,0)))+IF(N40&lt;=Metadatos!$B$13+1,25,0)+IF(AB40="Sí",15,0)+IF(AA40="No responde",-10,0),IF(Y40="Incumplido",40,0)+IF(AND(W40="Sí",X40=Metadatos!$B$13),35,0)+IF(V40&gt;=20000,25,IF(V40&gt;=10000,18,IF(V40&gt;=5000,10,0)))+IF(U40&gt;=15,25,IF(U40&gt;=6,20,IF(U40&gt;=3,10,0)))+IF(Z40&gt;=3,20,IF(Z40&gt;=2,10,0))+IF(AA40="Respondió",-10,0)+IF(AND(Y40="Vigente",X40&gt;Metadatos!$B$13),-10,0))</x:f>
        <x:v>54</x:v>
      </x:c>
      <x:c r="AE40" s="39" t="str">
        <x:f>IF(AD40&gt;=70,"P1",IF(AD40&gt;=50,"P2",IF(AD40&gt;=30,"P3","P4")))</x:f>
        <x:v>P2</x:v>
      </x:c>
      <x:c r="AF40" s="39" t="str">
        <x:v>Cliente recurrente con oportunidad activa</x:v>
      </x:c>
      <x:c r="AG40" s="39" t="str">
        <x:v>Pendiente</x:v>
      </x:c>
      <x:c r="AH40" s="39" t="str">
        <x:v>https://www.google.com/maps?q=-5.204150,-80.643172</x:v>
      </x:c>
      <x:c r="AI40" s="39" t="str">
        <x:v>SINTÉTICO</x:v>
      </x:c>
    </x:row>
    <x:row r="41">
      <x:c r="A41" s="39" t="str">
        <x:v>CLI-040</x:v>
      </x:c>
      <x:c r="B41" s="39" t="str">
        <x:v>Cliente 040</x:v>
      </x:c>
      <x:c r="C41" s="39" t="str">
        <x:v>COBRANZA</x:v>
      </x:c>
      <x:c r="D41" s="39" t="str">
        <x:v>Deudor</x:v>
      </x:c>
      <x:c r="E41" s="39" t="str">
        <x:v>Cobranza de crédito</x:v>
      </x:c>
      <x:c r="F41" s="39" t="str">
        <x:v>Recuperación</x:v>
      </x:c>
      <x:c r="G41" s="40" t="n">
        <x:v>-5.166507</x:v>
      </x:c>
      <x:c r="H41" s="40" t="n">
        <x:v>-80.63321</x:v>
      </x:c>
      <x:c r="I41" s="39" t="str">
        <x:v>Piura</x:v>
      </x:c>
      <x:c r="J41" s="39" t="str">
        <x:v>Piura</x:v>
      </x:c>
      <x:c r="K41" s="39" t="str">
        <x:v>AG01</x:v>
      </x:c>
      <x:c r="L41" s="39" t="str">
        <x:v>Mibanco Piura Centro</x:v>
      </x:c>
      <x:c r="M41" s="41" t="n">
        <x:v>3.13</x:v>
      </x:c>
      <x:c r="N41" s="42" t="n">
        <x:v>46291</x:v>
      </x:c>
      <x:c r="O41" s="43" t="n">
        <x:v>0.3541666666666667</x:v>
      </x:c>
      <x:c r="P41" s="43" t="n">
        <x:v>0.4375</x:v>
      </x:c>
      <x:c r="Q41" s="39" t="n">
        <x:v>40</x:v>
      </x:c>
      <x:c r="R41" s="44" t="n">
        <x:v>0</x:v>
      </x:c>
      <x:c r="S41" s="39" t="str">
        <x:v>No aplica</x:v>
      </x:c>
      <x:c r="T41" s="45" t="n">
        <x:v>0</x:v>
      </x:c>
      <x:c r="U41" s="39" t="n">
        <x:v>8</x:v>
      </x:c>
      <x:c r="V41" s="44" t="n">
        <x:v>23100</x:v>
      </x:c>
      <x:c r="W41" s="39" t="str">
        <x:v>Sí</x:v>
      </x:c>
      <x:c r="X41" s="42" t="n">
        <x:v>46288</x:v>
      </x:c>
      <x:c r="Y41" s="39" t="str">
        <x:v>Incumplido</x:v>
      </x:c>
      <x:c r="Z41" s="39" t="n">
        <x:v>2</x:v>
      </x:c>
      <x:c r="AA41" s="39" t="str">
        <x:v>No responde</x:v>
      </x:c>
      <x:c r="AB41" s="39" t="str">
        <x:v>No</x:v>
      </x:c>
      <x:c r="AC41" s="39" t="str">
        <x:v>No</x:v>
      </x:c>
      <x:c r="AD41" s="46" t="n">
        <x:f>IF(C41="COMERCIAL",IF(AC41="Sí",40,0)+IF(D41="Recurrente",15,0)+IF(S41="Alto",25,IF(S41="Medio",12,0))+IF(R41&gt;=30000,20,IF(R41&gt;=10000,12,IF(R41&gt;=5000,6,0)))+IF(N41&lt;=Metadatos!$B$13+1,25,0)+IF(AB41="Sí",15,0)+IF(AA41="No responde",-10,0),IF(Y41="Incumplido",40,0)+IF(AND(W41="Sí",X41=Metadatos!$B$13),35,0)+IF(V41&gt;=20000,25,IF(V41&gt;=10000,18,IF(V41&gt;=5000,10,0)))+IF(U41&gt;=15,25,IF(U41&gt;=6,20,IF(U41&gt;=3,10,0)))+IF(Z41&gt;=3,20,IF(Z41&gt;=2,10,0))+IF(AA41="Respondió",-10,0)+IF(AND(Y41="Vigente",X41&gt;Metadatos!$B$13),-10,0))</x:f>
        <x:v>95</x:v>
      </x:c>
      <x:c r="AE41" s="39" t="str">
        <x:f>IF(AD41&gt;=70,"P1",IF(AD41&gt;=50,"P2",IF(AD41&gt;=30,"P3","P4")))</x:f>
        <x:v>P1</x:v>
      </x:c>
      <x:c r="AF41" s="39" t="str">
        <x:v>Compromiso incumplido y cliente sin respuesta</x:v>
      </x:c>
      <x:c r="AG41" s="39" t="str">
        <x:v>Pendiente</x:v>
      </x:c>
      <x:c r="AH41" s="39" t="str">
        <x:v>https://www.google.com/maps?q=-5.166507,-80.633210</x:v>
      </x:c>
      <x:c r="AI41" s="39" t="str">
        <x:v>SINTÉTICO</x:v>
      </x:c>
    </x:row>
    <x:row r="42">
      <x:c r="A42" s="39" t="str">
        <x:v>CLI-041</x:v>
      </x:c>
      <x:c r="B42" s="39" t="str">
        <x:v>Cliente 041</x:v>
      </x:c>
      <x:c r="C42" s="39" t="str">
        <x:v>COMERCIAL</x:v>
      </x:c>
      <x:c r="D42" s="39" t="str">
        <x:v>Nuevo</x:v>
      </x:c>
      <x:c r="E42" s="39" t="str">
        <x:v>Crédito para negocio</x:v>
      </x:c>
      <x:c r="F42" s="39" t="str">
        <x:v>Negociación</x:v>
      </x:c>
      <x:c r="G42" s="40" t="n">
        <x:v>-5.196376</x:v>
      </x:c>
      <x:c r="H42" s="40" t="n">
        <x:v>-80.653037</x:v>
      </x:c>
      <x:c r="I42" s="39" t="str">
        <x:v>Piura</x:v>
      </x:c>
      <x:c r="J42" s="39" t="str">
        <x:v>Piura</x:v>
      </x:c>
      <x:c r="K42" s="39" t="str">
        <x:v>AG02</x:v>
      </x:c>
      <x:c r="L42" s="39" t="str">
        <x:v>Mibanco Sánchez Cerro</x:v>
      </x:c>
      <x:c r="M42" s="41" t="n">
        <x:v>2.51</x:v>
      </x:c>
      <x:c r="N42" s="42" t="n">
        <x:v>46294</x:v>
      </x:c>
      <x:c r="O42" s="43" t="n">
        <x:v>0.5</x:v>
      </x:c>
      <x:c r="P42" s="43" t="n">
        <x:v>0.5416666666666666</x:v>
      </x:c>
      <x:c r="Q42" s="39" t="n">
        <x:v>50</x:v>
      </x:c>
      <x:c r="R42" s="44" t="n">
        <x:v>8500</x:v>
      </x:c>
      <x:c r="S42" s="39" t="str">
        <x:v>Medio</x:v>
      </x:c>
      <x:c r="T42" s="45" t="n">
        <x:v>0.64</x:v>
      </x:c>
      <x:c r="U42" s="39" t="n">
        <x:v>0</x:v>
      </x:c>
      <x:c r="V42" s="44" t="n">
        <x:v>0</x:v>
      </x:c>
      <x:c r="W42" s="39" t="str">
        <x:v>No</x:v>
      </x:c>
      <x:c r="X42" s="42"/>
      <x:c r="Y42" s="39" t="str">
        <x:v>No aplica</x:v>
      </x:c>
      <x:c r="Z42" s="39" t="n">
        <x:v>0</x:v>
      </x:c>
      <x:c r="AA42" s="39" t="str">
        <x:v>No responde</x:v>
      </x:c>
      <x:c r="AB42" s="39" t="str">
        <x:v>No</x:v>
      </x:c>
      <x:c r="AC42" s="39" t="str">
        <x:v>No</x:v>
      </x:c>
      <x:c r="AD42" s="46" t="n">
        <x:f>IF(C42="COMERCIAL",IF(AC42="Sí",40,0)+IF(D42="Recurrente",15,0)+IF(S42="Alto",25,IF(S42="Medio",12,0))+IF(R42&gt;=30000,20,IF(R42&gt;=10000,12,IF(R42&gt;=5000,6,0)))+IF(N42&lt;=Metadatos!$B$13+1,25,0)+IF(AB42="Sí",15,0)+IF(AA42="No responde",-10,0),IF(Y42="Incumplido",40,0)+IF(AND(W42="Sí",X42=Metadatos!$B$13),35,0)+IF(V42&gt;=20000,25,IF(V42&gt;=10000,18,IF(V42&gt;=5000,10,0)))+IF(U42&gt;=15,25,IF(U42&gt;=6,20,IF(U42&gt;=3,10,0)))+IF(Z42&gt;=3,20,IF(Z42&gt;=2,10,0))+IF(AA42="Respondió",-10,0)+IF(AND(Y42="Vigente",X42&gt;Metadatos!$B$13),-10,0))</x:f>
        <x:v>8</x:v>
      </x:c>
      <x:c r="AE42" s="39" t="str">
        <x:f>IF(AD42&gt;=70,"P1",IF(AD42&gt;=50,"P2",IF(AD42&gt;=30,"P3","P4")))</x:f>
        <x:v>P4</x:v>
      </x:c>
      <x:c r="AF42" s="39" t="str">
        <x:v>Interés medio; requiere seguimiento</x:v>
      </x:c>
      <x:c r="AG42" s="39" t="str">
        <x:v>Pendiente</x:v>
      </x:c>
      <x:c r="AH42" s="39" t="str">
        <x:v>https://www.google.com/maps?q=-5.196376,-80.653037</x:v>
      </x:c>
      <x:c r="AI42" s="39" t="str">
        <x:v>SINTÉTICO</x:v>
      </x:c>
    </x:row>
    <x:row r="43">
      <x:c r="A43" s="39" t="str">
        <x:v>CLI-042</x:v>
      </x:c>
      <x:c r="B43" s="39" t="str">
        <x:v>Cliente 042</x:v>
      </x:c>
      <x:c r="C43" s="39" t="str">
        <x:v>COBRANZA</x:v>
      </x:c>
      <x:c r="D43" s="39" t="str">
        <x:v>Deudor</x:v>
      </x:c>
      <x:c r="E43" s="39" t="str">
        <x:v>Cobranza de crédito</x:v>
      </x:c>
      <x:c r="F43" s="39" t="str">
        <x:v>Recuperación</x:v>
      </x:c>
      <x:c r="G43" s="40" t="n">
        <x:v>-5.171019</x:v>
      </x:c>
      <x:c r="H43" s="40" t="n">
        <x:v>-80.617312</x:v>
      </x:c>
      <x:c r="I43" s="39" t="str">
        <x:v>Piura</x:v>
      </x:c>
      <x:c r="J43" s="39" t="str">
        <x:v>Piura</x:v>
      </x:c>
      <x:c r="K43" s="39" t="str">
        <x:v>AG02</x:v>
      </x:c>
      <x:c r="L43" s="39" t="str">
        <x:v>Mibanco Sánchez Cerro</x:v>
      </x:c>
      <x:c r="M43" s="41" t="n">
        <x:v>2.69</x:v>
      </x:c>
      <x:c r="N43" s="42" t="n">
        <x:v>46291</x:v>
      </x:c>
      <x:c r="O43" s="43" t="n">
        <x:v>0.3333333333333333</x:v>
      </x:c>
      <x:c r="P43" s="43" t="n">
        <x:v>0.375</x:v>
      </x:c>
      <x:c r="Q43" s="39" t="n">
        <x:v>45</x:v>
      </x:c>
      <x:c r="R43" s="44" t="n">
        <x:v>0</x:v>
      </x:c>
      <x:c r="S43" s="39" t="str">
        <x:v>No aplica</x:v>
      </x:c>
      <x:c r="T43" s="45" t="n">
        <x:v>0</x:v>
      </x:c>
      <x:c r="U43" s="39" t="n">
        <x:v>22</x:v>
      </x:c>
      <x:c r="V43" s="44" t="n">
        <x:v>9300</x:v>
      </x:c>
      <x:c r="W43" s="39" t="str">
        <x:v>Sí</x:v>
      </x:c>
      <x:c r="X43" s="42" t="n">
        <x:v>46290</x:v>
      </x:c>
      <x:c r="Y43" s="39" t="str">
        <x:v>Incumplido</x:v>
      </x:c>
      <x:c r="Z43" s="39" t="n">
        <x:v>3</x:v>
      </x:c>
      <x:c r="AA43" s="39" t="str">
        <x:v>No responde</x:v>
      </x:c>
      <x:c r="AB43" s="39" t="str">
        <x:v>No</x:v>
      </x:c>
      <x:c r="AC43" s="39" t="str">
        <x:v>No</x:v>
      </x:c>
      <x:c r="AD43" s="46" t="n">
        <x:f>IF(C43="COMERCIAL",IF(AC43="Sí",40,0)+IF(D43="Recurrente",15,0)+IF(S43="Alto",25,IF(S43="Medio",12,0))+IF(R43&gt;=30000,20,IF(R43&gt;=10000,12,IF(R43&gt;=5000,6,0)))+IF(N43&lt;=Metadatos!$B$13+1,25,0)+IF(AB43="Sí",15,0)+IF(AA43="No responde",-10,0),IF(Y43="Incumplido",40,0)+IF(AND(W43="Sí",X43=Metadatos!$B$13),35,0)+IF(V43&gt;=20000,25,IF(V43&gt;=10000,18,IF(V43&gt;=5000,10,0)))+IF(U43&gt;=15,25,IF(U43&gt;=6,20,IF(U43&gt;=3,10,0)))+IF(Z43&gt;=3,20,IF(Z43&gt;=2,10,0))+IF(AA43="Respondió",-10,0)+IF(AND(Y43="Vigente",X43&gt;Metadatos!$B$13),-10,0))</x:f>
        <x:v>95</x:v>
      </x:c>
      <x:c r="AE43" s="39" t="str">
        <x:f>IF(AD43&gt;=70,"P1",IF(AD43&gt;=50,"P2",IF(AD43&gt;=30,"P3","P4")))</x:f>
        <x:v>P1</x:v>
      </x:c>
      <x:c r="AF43" s="39" t="str">
        <x:v>Compromiso incumplido y cliente sin respuesta</x:v>
      </x:c>
      <x:c r="AG43" s="39" t="str">
        <x:v>Programada</x:v>
      </x:c>
      <x:c r="AH43" s="39" t="str">
        <x:v>https://www.google.com/maps?q=-5.171019,-80.617312</x:v>
      </x:c>
      <x:c r="AI43" s="39" t="str">
        <x:v>SINTÉTICO</x:v>
      </x:c>
    </x:row>
    <x:row r="44">
      <x:c r="A44" s="39" t="str">
        <x:v>CLI-043</x:v>
      </x:c>
      <x:c r="B44" s="39" t="str">
        <x:v>Cliente 043</x:v>
      </x:c>
      <x:c r="C44" s="39" t="str">
        <x:v>COMERCIAL</x:v>
      </x:c>
      <x:c r="D44" s="39" t="str">
        <x:v>Recurrente</x:v>
      </x:c>
      <x:c r="E44" s="39" t="str">
        <x:v>Capital de trabajo</x:v>
      </x:c>
      <x:c r="F44" s="39" t="str">
        <x:v>Cierre</x:v>
      </x:c>
      <x:c r="G44" s="40" t="n">
        <x:v>-5.218691</x:v>
      </x:c>
      <x:c r="H44" s="40" t="n">
        <x:v>-80.611694</x:v>
      </x:c>
      <x:c r="I44" s="39" t="str">
        <x:v>Piura</x:v>
      </x:c>
      <x:c r="J44" s="39" t="str">
        <x:v>Piura</x:v>
      </x:c>
      <x:c r="K44" s="39" t="str">
        <x:v>AG02</x:v>
      </x:c>
      <x:c r="L44" s="39" t="str">
        <x:v>Mibanco Sánchez Cerro</x:v>
      </x:c>
      <x:c r="M44" s="41" t="n">
        <x:v>3.76</x:v>
      </x:c>
      <x:c r="N44" s="42" t="n">
        <x:v>46293</x:v>
      </x:c>
      <x:c r="O44" s="43" t="n">
        <x:v>0.5</x:v>
      </x:c>
      <x:c r="P44" s="43" t="n">
        <x:v>0.5625</x:v>
      </x:c>
      <x:c r="Q44" s="39" t="n">
        <x:v>40</x:v>
      </x:c>
      <x:c r="R44" s="44" t="n">
        <x:v>37600</x:v>
      </x:c>
      <x:c r="S44" s="39" t="str">
        <x:v>Alto</x:v>
      </x:c>
      <x:c r="T44" s="45" t="n">
        <x:v>0.77</x:v>
      </x:c>
      <x:c r="U44" s="39" t="n">
        <x:v>0</x:v>
      </x:c>
      <x:c r="V44" s="44" t="n">
        <x:v>0</x:v>
      </x:c>
      <x:c r="W44" s="39" t="str">
        <x:v>No</x:v>
      </x:c>
      <x:c r="X44" s="42"/>
      <x:c r="Y44" s="39" t="str">
        <x:v>No aplica</x:v>
      </x:c>
      <x:c r="Z44" s="39" t="n">
        <x:v>0</x:v>
      </x:c>
      <x:c r="AA44" s="39" t="str">
        <x:v>Respondió</x:v>
      </x:c>
      <x:c r="AB44" s="39" t="str">
        <x:v>Sí</x:v>
      </x:c>
      <x:c r="AC44" s="39" t="str">
        <x:v>No</x:v>
      </x:c>
      <x:c r="AD44" s="46" t="n">
        <x:f>IF(C44="COMERCIAL",IF(AC44="Sí",40,0)+IF(D44="Recurrente",15,0)+IF(S44="Alto",25,IF(S44="Medio",12,0))+IF(R44&gt;=30000,20,IF(R44&gt;=10000,12,IF(R44&gt;=5000,6,0)))+IF(N44&lt;=Metadatos!$B$13+1,25,0)+IF(AB44="Sí",15,0)+IF(AA44="No responde",-10,0),IF(Y44="Incumplido",40,0)+IF(AND(W44="Sí",X44=Metadatos!$B$13),35,0)+IF(V44&gt;=20000,25,IF(V44&gt;=10000,18,IF(V44&gt;=5000,10,0)))+IF(U44&gt;=15,25,IF(U44&gt;=6,20,IF(U44&gt;=3,10,0)))+IF(Z44&gt;=3,20,IF(Z44&gt;=2,10,0))+IF(AA44="Respondió",-10,0)+IF(AND(Y44="Vigente",X44&gt;Metadatos!$B$13),-10,0))</x:f>
        <x:v>75</x:v>
      </x:c>
      <x:c r="AE44" s="39" t="str">
        <x:f>IF(AD44&gt;=70,"P1",IF(AD44&gt;=50,"P2",IF(AD44&gt;=30,"P3","P4")))</x:f>
        <x:v>P1</x:v>
      </x:c>
      <x:c r="AF44" s="39" t="str">
        <x:v>Interés alto y monto comercial alto</x:v>
      </x:c>
      <x:c r="AG44" s="39" t="str">
        <x:v>Pendiente</x:v>
      </x:c>
      <x:c r="AH44" s="39" t="str">
        <x:v>https://www.google.com/maps?q=-5.218691,-80.611694</x:v>
      </x:c>
      <x:c r="AI44" s="39" t="str">
        <x:v>SINTÉTICO</x:v>
      </x:c>
    </x:row>
    <x:row r="45">
      <x:c r="A45" s="39" t="str">
        <x:v>CLI-044</x:v>
      </x:c>
      <x:c r="B45" s="39" t="str">
        <x:v>Cliente 044</x:v>
      </x:c>
      <x:c r="C45" s="39" t="str">
        <x:v>COBRANZA</x:v>
      </x:c>
      <x:c r="D45" s="39" t="str">
        <x:v>Deudor</x:v>
      </x:c>
      <x:c r="E45" s="39" t="str">
        <x:v>Cobranza de crédito</x:v>
      </x:c>
      <x:c r="F45" s="39" t="str">
        <x:v>Recuperación</x:v>
      </x:c>
      <x:c r="G45" s="40" t="n">
        <x:v>-5.197114</x:v>
      </x:c>
      <x:c r="H45" s="40" t="n">
        <x:v>-80.604175</x:v>
      </x:c>
      <x:c r="I45" s="39" t="str">
        <x:v>Piura</x:v>
      </x:c>
      <x:c r="J45" s="39" t="str">
        <x:v>Piura</x:v>
      </x:c>
      <x:c r="K45" s="39" t="str">
        <x:v>AG02</x:v>
      </x:c>
      <x:c r="L45" s="39" t="str">
        <x:v>Mibanco Sánchez Cerro</x:v>
      </x:c>
      <x:c r="M45" s="41" t="n">
        <x:v>3.06</x:v>
      </x:c>
      <x:c r="N45" s="42" t="n">
        <x:v>46291</x:v>
      </x:c>
      <x:c r="O45" s="43" t="n">
        <x:v>0.4583333333333333</x:v>
      </x:c>
      <x:c r="P45" s="43" t="n">
        <x:v>0.5</x:v>
      </x:c>
      <x:c r="Q45" s="39" t="n">
        <x:v>50</x:v>
      </x:c>
      <x:c r="R45" s="44" t="n">
        <x:v>0</x:v>
      </x:c>
      <x:c r="S45" s="39" t="str">
        <x:v>No aplica</x:v>
      </x:c>
      <x:c r="T45" s="45" t="n">
        <x:v>0</x:v>
      </x:c>
      <x:c r="U45" s="39" t="n">
        <x:v>28</x:v>
      </x:c>
      <x:c r="V45" s="44" t="n">
        <x:v>22600</x:v>
      </x:c>
      <x:c r="W45" s="39" t="str">
        <x:v>Sí</x:v>
      </x:c>
      <x:c r="X45" s="42" t="n">
        <x:v>46290</x:v>
      </x:c>
      <x:c r="Y45" s="39" t="str">
        <x:v>Cumplido</x:v>
      </x:c>
      <x:c r="Z45" s="39" t="n">
        <x:v>2</x:v>
      </x:c>
      <x:c r="AA45" s="39" t="str">
        <x:v>No responde</x:v>
      </x:c>
      <x:c r="AB45" s="39" t="str">
        <x:v>No</x:v>
      </x:c>
      <x:c r="AC45" s="39" t="str">
        <x:v>No</x:v>
      </x:c>
      <x:c r="AD45" s="46" t="n">
        <x:f>IF(C45="COMERCIAL",IF(AC45="Sí",40,0)+IF(D45="Recurrente",15,0)+IF(S45="Alto",25,IF(S45="Medio",12,0))+IF(R45&gt;=30000,20,IF(R45&gt;=10000,12,IF(R45&gt;=5000,6,0)))+IF(N45&lt;=Metadatos!$B$13+1,25,0)+IF(AB45="Sí",15,0)+IF(AA45="No responde",-10,0),IF(Y45="Incumplido",40,0)+IF(AND(W45="Sí",X45=Metadatos!$B$13),35,0)+IF(V45&gt;=20000,25,IF(V45&gt;=10000,18,IF(V45&gt;=5000,10,0)))+IF(U45&gt;=15,25,IF(U45&gt;=6,20,IF(U45&gt;=3,10,0)))+IF(Z45&gt;=3,20,IF(Z45&gt;=2,10,0))+IF(AA45="Respondió",-10,0)+IF(AND(Y45="Vigente",X45&gt;Metadatos!$B$13),-10,0))</x:f>
        <x:v>60</x:v>
      </x:c>
      <x:c r="AE45" s="39" t="str">
        <x:f>IF(AD45&gt;=70,"P1",IF(AD45&gt;=50,"P2",IF(AD45&gt;=30,"P3","P4")))</x:f>
        <x:v>P2</x:v>
      </x:c>
      <x:c r="AF45" s="39" t="str">
        <x:v>Mora elevada y saldo alto</x:v>
      </x:c>
      <x:c r="AG45" s="39" t="str">
        <x:v>Pendiente</x:v>
      </x:c>
      <x:c r="AH45" s="39" t="str">
        <x:v>https://www.google.com/maps?q=-5.197114,-80.604175</x:v>
      </x:c>
      <x:c r="AI45" s="39" t="str">
        <x:v>SINTÉTICO</x:v>
      </x:c>
    </x:row>
    <x:row r="46">
      <x:c r="A46" s="39" t="str">
        <x:v>CLI-045</x:v>
      </x:c>
      <x:c r="B46" s="39" t="str">
        <x:v>Cliente 045</x:v>
      </x:c>
      <x:c r="C46" s="39" t="str">
        <x:v>COMERCIAL</x:v>
      </x:c>
      <x:c r="D46" s="39" t="str">
        <x:v>Recurrente</x:v>
      </x:c>
      <x:c r="E46" s="39" t="str">
        <x:v>Crédito para negocio</x:v>
      </x:c>
      <x:c r="F46" s="39" t="str">
        <x:v>Negociación</x:v>
      </x:c>
      <x:c r="G46" s="40" t="n">
        <x:v>-5.175334</x:v>
      </x:c>
      <x:c r="H46" s="40" t="n">
        <x:v>-80.611278</x:v>
      </x:c>
      <x:c r="I46" s="39" t="str">
        <x:v>Piura</x:v>
      </x:c>
      <x:c r="J46" s="39" t="str">
        <x:v>Piura</x:v>
      </x:c>
      <x:c r="K46" s="39" t="str">
        <x:v>AG02</x:v>
      </x:c>
      <x:c r="L46" s="39" t="str">
        <x:v>Mibanco Sánchez Cerro</x:v>
      </x:c>
      <x:c r="M46" s="41" t="n">
        <x:v>2.8</x:v>
      </x:c>
      <x:c r="N46" s="42" t="n">
        <x:v>46291</x:v>
      </x:c>
      <x:c r="O46" s="43" t="n">
        <x:v>0.6041666666666666</x:v>
      </x:c>
      <x:c r="P46" s="43" t="n">
        <x:v>0.6875</x:v>
      </x:c>
      <x:c r="Q46" s="39" t="n">
        <x:v>60</x:v>
      </x:c>
      <x:c r="R46" s="44" t="n">
        <x:v>41000</x:v>
      </x:c>
      <x:c r="S46" s="39" t="str">
        <x:v>Alto</x:v>
      </x:c>
      <x:c r="T46" s="45" t="n">
        <x:v>0.87</x:v>
      </x:c>
      <x:c r="U46" s="39" t="n">
        <x:v>0</x:v>
      </x:c>
      <x:c r="V46" s="44" t="n">
        <x:v>0</x:v>
      </x:c>
      <x:c r="W46" s="39" t="str">
        <x:v>No</x:v>
      </x:c>
      <x:c r="X46" s="42"/>
      <x:c r="Y46" s="39" t="str">
        <x:v>No aplica</x:v>
      </x:c>
      <x:c r="Z46" s="39" t="n">
        <x:v>0</x:v>
      </x:c>
      <x:c r="AA46" s="39" t="str">
        <x:v>Respondió</x:v>
      </x:c>
      <x:c r="AB46" s="39" t="str">
        <x:v>Sí</x:v>
      </x:c>
      <x:c r="AC46" s="39" t="str">
        <x:v>Sí</x:v>
      </x:c>
      <x:c r="AD46" s="46" t="n">
        <x:f>IF(C46="COMERCIAL",IF(AC46="Sí",40,0)+IF(D46="Recurrente",15,0)+IF(S46="Alto",25,IF(S46="Medio",12,0))+IF(R46&gt;=30000,20,IF(R46&gt;=10000,12,IF(R46&gt;=5000,6,0)))+IF(N46&lt;=Metadatos!$B$13+1,25,0)+IF(AB46="Sí",15,0)+IF(AA46="No responde",-10,0),IF(Y46="Incumplido",40,0)+IF(AND(W46="Sí",X46=Metadatos!$B$13),35,0)+IF(V46&gt;=20000,25,IF(V46&gt;=10000,18,IF(V46&gt;=5000,10,0)))+IF(U46&gt;=15,25,IF(U46&gt;=6,20,IF(U46&gt;=3,10,0)))+IF(Z46&gt;=3,20,IF(Z46&gt;=2,10,0))+IF(AA46="Respondió",-10,0)+IF(AND(Y46="Vigente",X46&gt;Metadatos!$B$13),-10,0))</x:f>
        <x:v>140</x:v>
      </x:c>
      <x:c r="AE46" s="39" t="str">
        <x:f>IF(AD46&gt;=70,"P1",IF(AD46&gt;=50,"P2",IF(AD46&gt;=30,"P3","P4")))</x:f>
        <x:v>P1</x:v>
      </x:c>
      <x:c r="AF46" s="39" t="str">
        <x:v>Operación prevista hoy y cliente recurrente</x:v>
      </x:c>
      <x:c r="AG46" s="39" t="str">
        <x:v>Pendiente</x:v>
      </x:c>
      <x:c r="AH46" s="39" t="str">
        <x:v>https://www.google.com/maps?q=-5.175334,-80.611278</x:v>
      </x:c>
      <x:c r="AI46" s="39" t="str">
        <x:v>SINTÉTICO</x:v>
      </x:c>
    </x:row>
    <x:row r="47">
      <x:c r="A47" s="39" t="str">
        <x:v>CLI-046</x:v>
      </x:c>
      <x:c r="B47" s="39" t="str">
        <x:v>Cliente 046</x:v>
      </x:c>
      <x:c r="C47" s="39" t="str">
        <x:v>COBRANZA</x:v>
      </x:c>
      <x:c r="D47" s="39" t="str">
        <x:v>Deudor</x:v>
      </x:c>
      <x:c r="E47" s="39" t="str">
        <x:v>Cobranza de crédito</x:v>
      </x:c>
      <x:c r="F47" s="39" t="str">
        <x:v>Recuperación</x:v>
      </x:c>
      <x:c r="G47" s="40" t="n">
        <x:v>-5.178654</x:v>
      </x:c>
      <x:c r="H47" s="40" t="n">
        <x:v>-80.613293</x:v>
      </x:c>
      <x:c r="I47" s="39" t="str">
        <x:v>Piura</x:v>
      </x:c>
      <x:c r="J47" s="39" t="str">
        <x:v>Piura</x:v>
      </x:c>
      <x:c r="K47" s="39" t="str">
        <x:v>AG02</x:v>
      </x:c>
      <x:c r="L47" s="39" t="str">
        <x:v>Mibanco Sánchez Cerro</x:v>
      </x:c>
      <x:c r="M47" s="41" t="n">
        <x:v>2.4</x:v>
      </x:c>
      <x:c r="N47" s="42" t="n">
        <x:v>46291</x:v>
      </x:c>
      <x:c r="O47" s="43" t="n">
        <x:v>0.3333333333333333</x:v>
      </x:c>
      <x:c r="P47" s="43" t="n">
        <x:v>0.3958333333333333</x:v>
      </x:c>
      <x:c r="Q47" s="39" t="n">
        <x:v>40</x:v>
      </x:c>
      <x:c r="R47" s="44" t="n">
        <x:v>0</x:v>
      </x:c>
      <x:c r="S47" s="39" t="str">
        <x:v>No aplica</x:v>
      </x:c>
      <x:c r="T47" s="45" t="n">
        <x:v>0</x:v>
      </x:c>
      <x:c r="U47" s="39" t="n">
        <x:v>1</x:v>
      </x:c>
      <x:c r="V47" s="44" t="n">
        <x:v>12400</x:v>
      </x:c>
      <x:c r="W47" s="39" t="str">
        <x:v>Sí</x:v>
      </x:c>
      <x:c r="X47" s="42" t="n">
        <x:v>46294</x:v>
      </x:c>
      <x:c r="Y47" s="39" t="str">
        <x:v>Vigente</x:v>
      </x:c>
      <x:c r="Z47" s="39" t="n">
        <x:v>3</x:v>
      </x:c>
      <x:c r="AA47" s="39" t="str">
        <x:v>No responde</x:v>
      </x:c>
      <x:c r="AB47" s="39" t="str">
        <x:v>No</x:v>
      </x:c>
      <x:c r="AC47" s="39" t="str">
        <x:v>No</x:v>
      </x:c>
      <x:c r="AD47" s="46" t="n">
        <x:f>IF(C47="COMERCIAL",IF(AC47="Sí",40,0)+IF(D47="Recurrente",15,0)+IF(S47="Alto",25,IF(S47="Medio",12,0))+IF(R47&gt;=30000,20,IF(R47&gt;=10000,12,IF(R47&gt;=5000,6,0)))+IF(N47&lt;=Metadatos!$B$13+1,25,0)+IF(AB47="Sí",15,0)+IF(AA47="No responde",-10,0),IF(Y47="Incumplido",40,0)+IF(AND(W47="Sí",X47=Metadatos!$B$13),35,0)+IF(V47&gt;=20000,25,IF(V47&gt;=10000,18,IF(V47&gt;=5000,10,0)))+IF(U47&gt;=15,25,IF(U47&gt;=6,20,IF(U47&gt;=3,10,0)))+IF(Z47&gt;=3,20,IF(Z47&gt;=2,10,0))+IF(AA47="Respondió",-10,0)+IF(AND(Y47="Vigente",X47&gt;Metadatos!$B$13),-10,0))</x:f>
        <x:v>28</x:v>
      </x:c>
      <x:c r="AE47" s="39" t="str">
        <x:f>IF(AD47&gt;=70,"P1",IF(AD47&gt;=50,"P2",IF(AD47&gt;=30,"P3","P4")))</x:f>
        <x:v>P4</x:v>
      </x:c>
      <x:c r="AF47" s="39" t="str">
        <x:v>Varios intentos sin respuesta</x:v>
      </x:c>
      <x:c r="AG47" s="39" t="str">
        <x:v>Pendiente</x:v>
      </x:c>
      <x:c r="AH47" s="39" t="str">
        <x:v>https://www.google.com/maps?q=-5.178654,-80.613293</x:v>
      </x:c>
      <x:c r="AI47" s="39" t="str">
        <x:v>SINTÉTICO</x:v>
      </x:c>
    </x:row>
    <x:row r="48">
      <x:c r="A48" s="39" t="str">
        <x:v>CLI-047</x:v>
      </x:c>
      <x:c r="B48" s="39" t="str">
        <x:v>Cliente 047</x:v>
      </x:c>
      <x:c r="C48" s="39" t="str">
        <x:v>COMERCIAL</x:v>
      </x:c>
      <x:c r="D48" s="39" t="str">
        <x:v>Recurrente</x:v>
      </x:c>
      <x:c r="E48" s="39" t="str">
        <x:v>Crédito personal</x:v>
      </x:c>
      <x:c r="F48" s="39" t="str">
        <x:v>Contactado</x:v>
      </x:c>
      <x:c r="G48" s="40" t="n">
        <x:v>-5.184573</x:v>
      </x:c>
      <x:c r="H48" s="40" t="n">
        <x:v>-80.645116</x:v>
      </x:c>
      <x:c r="I48" s="39" t="str">
        <x:v>Piura</x:v>
      </x:c>
      <x:c r="J48" s="39" t="str">
        <x:v>Piura</x:v>
      </x:c>
      <x:c r="K48" s="39" t="str">
        <x:v>AG02</x:v>
      </x:c>
      <x:c r="L48" s="39" t="str">
        <x:v>Mibanco Sánchez Cerro</x:v>
      </x:c>
      <x:c r="M48" s="41" t="n">
        <x:v>1.71</x:v>
      </x:c>
      <x:c r="N48" s="42" t="n">
        <x:v>46295</x:v>
      </x:c>
      <x:c r="O48" s="43" t="n">
        <x:v>0.5</x:v>
      </x:c>
      <x:c r="P48" s="43" t="n">
        <x:v>0.5833333333333334</x:v>
      </x:c>
      <x:c r="Q48" s="39" t="n">
        <x:v>50</x:v>
      </x:c>
      <x:c r="R48" s="44" t="n">
        <x:v>7100</x:v>
      </x:c>
      <x:c r="S48" s="39" t="str">
        <x:v>Bajo</x:v>
      </x:c>
      <x:c r="T48" s="45" t="n">
        <x:v>0.32</x:v>
      </x:c>
      <x:c r="U48" s="39" t="n">
        <x:v>0</x:v>
      </x:c>
      <x:c r="V48" s="44" t="n">
        <x:v>0</x:v>
      </x:c>
      <x:c r="W48" s="39" t="str">
        <x:v>No</x:v>
      </x:c>
      <x:c r="X48" s="42"/>
      <x:c r="Y48" s="39" t="str">
        <x:v>No aplica</x:v>
      </x:c>
      <x:c r="Z48" s="39" t="n">
        <x:v>0</x:v>
      </x:c>
      <x:c r="AA48" s="39" t="str">
        <x:v>No responde</x:v>
      </x:c>
      <x:c r="AB48" s="39" t="str">
        <x:v>No</x:v>
      </x:c>
      <x:c r="AC48" s="39" t="str">
        <x:v>No</x:v>
      </x:c>
      <x:c r="AD48" s="46" t="n">
        <x:f>IF(C48="COMERCIAL",IF(AC48="Sí",40,0)+IF(D48="Recurrente",15,0)+IF(S48="Alto",25,IF(S48="Medio",12,0))+IF(R48&gt;=30000,20,IF(R48&gt;=10000,12,IF(R48&gt;=5000,6,0)))+IF(N48&lt;=Metadatos!$B$13+1,25,0)+IF(AB48="Sí",15,0)+IF(AA48="No responde",-10,0),IF(Y48="Incumplido",40,0)+IF(AND(W48="Sí",X48=Metadatos!$B$13),35,0)+IF(V48&gt;=20000,25,IF(V48&gt;=10000,18,IF(V48&gt;=5000,10,0)))+IF(U48&gt;=15,25,IF(U48&gt;=6,20,IF(U48&gt;=3,10,0)))+IF(Z48&gt;=3,20,IF(Z48&gt;=2,10,0))+IF(AA48="Respondió",-10,0)+IF(AND(Y48="Vigente",X48&gt;Metadatos!$B$13),-10,0))</x:f>
        <x:v>11</x:v>
      </x:c>
      <x:c r="AE48" s="39" t="str">
        <x:f>IF(AD48&gt;=70,"P1",IF(AD48&gt;=50,"P2",IF(AD48&gt;=30,"P3","P4")))</x:f>
        <x:v>P4</x:v>
      </x:c>
      <x:c r="AF48" s="39" t="str">
        <x:v>Prospecto sin urgencia inmediata</x:v>
      </x:c>
      <x:c r="AG48" s="39" t="str">
        <x:v>Pendiente</x:v>
      </x:c>
      <x:c r="AH48" s="39" t="str">
        <x:v>https://www.google.com/maps?q=-5.184573,-80.645116</x:v>
      </x:c>
      <x:c r="AI48" s="39" t="str">
        <x:v>SINTÉTICO</x:v>
      </x:c>
    </x:row>
    <x:row r="49">
      <x:c r="A49" s="39" t="str">
        <x:v>CLI-048</x:v>
      </x:c>
      <x:c r="B49" s="39" t="str">
        <x:v>Cliente 048</x:v>
      </x:c>
      <x:c r="C49" s="39" t="str">
        <x:v>COBRANZA</x:v>
      </x:c>
      <x:c r="D49" s="39" t="str">
        <x:v>Deudor</x:v>
      </x:c>
      <x:c r="E49" s="39" t="str">
        <x:v>Cobranza de crédito</x:v>
      </x:c>
      <x:c r="F49" s="39" t="str">
        <x:v>Recuperación</x:v>
      </x:c>
      <x:c r="G49" s="40" t="n">
        <x:v>-5.168811</x:v>
      </x:c>
      <x:c r="H49" s="40" t="n">
        <x:v>-80.631068</x:v>
      </x:c>
      <x:c r="I49" s="39" t="str">
        <x:v>Piura</x:v>
      </x:c>
      <x:c r="J49" s="39" t="str">
        <x:v>Piura</x:v>
      </x:c>
      <x:c r="K49" s="39" t="str">
        <x:v>AG02</x:v>
      </x:c>
      <x:c r="L49" s="39" t="str">
        <x:v>Mibanco Sánchez Cerro</x:v>
      </x:c>
      <x:c r="M49" s="41" t="n">
        <x:v>2.46</x:v>
      </x:c>
      <x:c r="N49" s="42" t="n">
        <x:v>46292</x:v>
      </x:c>
      <x:c r="O49" s="43" t="n">
        <x:v>0.6041666666666666</x:v>
      </x:c>
      <x:c r="P49" s="43" t="n">
        <x:v>0.6875</x:v>
      </x:c>
      <x:c r="Q49" s="39" t="n">
        <x:v>45</x:v>
      </x:c>
      <x:c r="R49" s="44" t="n">
        <x:v>0</x:v>
      </x:c>
      <x:c r="S49" s="39" t="str">
        <x:v>No aplica</x:v>
      </x:c>
      <x:c r="T49" s="45" t="n">
        <x:v>0</x:v>
      </x:c>
      <x:c r="U49" s="39" t="n">
        <x:v>4</x:v>
      </x:c>
      <x:c r="V49" s="44" t="n">
        <x:v>8700</x:v>
      </x:c>
      <x:c r="W49" s="39" t="str">
        <x:v>No</x:v>
      </x:c>
      <x:c r="X49" s="42"/>
      <x:c r="Y49" s="39" t="str">
        <x:v>Sin compromiso</x:v>
      </x:c>
      <x:c r="Z49" s="39" t="n">
        <x:v>2</x:v>
      </x:c>
      <x:c r="AA49" s="39" t="str">
        <x:v>Respondió</x:v>
      </x:c>
      <x:c r="AB49" s="39" t="str">
        <x:v>No</x:v>
      </x:c>
      <x:c r="AC49" s="39" t="str">
        <x:v>No</x:v>
      </x:c>
      <x:c r="AD49" s="46" t="n">
        <x:f>IF(C49="COMERCIAL",IF(AC49="Sí",40,0)+IF(D49="Recurrente",15,0)+IF(S49="Alto",25,IF(S49="Medio",12,0))+IF(R49&gt;=30000,20,IF(R49&gt;=10000,12,IF(R49&gt;=5000,6,0)))+IF(N49&lt;=Metadatos!$B$13+1,25,0)+IF(AB49="Sí",15,0)+IF(AA49="No responde",-10,0),IF(Y49="Incumplido",40,0)+IF(AND(W49="Sí",X49=Metadatos!$B$13),35,0)+IF(V49&gt;=20000,25,IF(V49&gt;=10000,18,IF(V49&gt;=5000,10,0)))+IF(U49&gt;=15,25,IF(U49&gt;=6,20,IF(U49&gt;=3,10,0)))+IF(Z49&gt;=3,20,IF(Z49&gt;=2,10,0))+IF(AA49="Respondió",-10,0)+IF(AND(Y49="Vigente",X49&gt;Metadatos!$B$13),-10,0))</x:f>
        <x:v>20</x:v>
      </x:c>
      <x:c r="AE49" s="39" t="str">
        <x:f>IF(AD49&gt;=70,"P1",IF(AD49&gt;=50,"P2",IF(AD49&gt;=30,"P3","P4")))</x:f>
        <x:v>P4</x:v>
      </x:c>
      <x:c r="AF49" s="39" t="str">
        <x:v>Mora reciente con seguimiento programable</x:v>
      </x:c>
      <x:c r="AG49" s="39" t="str">
        <x:v>Pendiente</x:v>
      </x:c>
      <x:c r="AH49" s="39" t="str">
        <x:v>https://www.google.com/maps?q=-5.168811,-80.631068</x:v>
      </x:c>
      <x:c r="AI49" s="39" t="str">
        <x:v>SINTÉTICO</x:v>
      </x:c>
    </x:row>
    <x:row r="50">
      <x:c r="A50" s="39" t="str">
        <x:v>CLI-049</x:v>
      </x:c>
      <x:c r="B50" s="39" t="str">
        <x:v>Cliente 049</x:v>
      </x:c>
      <x:c r="C50" s="39" t="str">
        <x:v>COMERCIAL</x:v>
      </x:c>
      <x:c r="D50" s="39" t="str">
        <x:v>Recurrente</x:v>
      </x:c>
      <x:c r="E50" s="39" t="str">
        <x:v>Crédito para negocio</x:v>
      </x:c>
      <x:c r="F50" s="39" t="str">
        <x:v>Prospecto</x:v>
      </x:c>
      <x:c r="G50" s="40" t="n">
        <x:v>-5.201177</x:v>
      </x:c>
      <x:c r="H50" s="40" t="n">
        <x:v>-80.6511</x:v>
      </x:c>
      <x:c r="I50" s="39" t="str">
        <x:v>Piura</x:v>
      </x:c>
      <x:c r="J50" s="39" t="str">
        <x:v>Piura</x:v>
      </x:c>
      <x:c r="K50" s="39" t="str">
        <x:v>AG02</x:v>
      </x:c>
      <x:c r="L50" s="39" t="str">
        <x:v>Mibanco Sánchez Cerro</x:v>
      </x:c>
      <x:c r="M50" s="41" t="n">
        <x:v>2.49</x:v>
      </x:c>
      <x:c r="N50" s="42" t="n">
        <x:v>46293</x:v>
      </x:c>
      <x:c r="O50" s="43" t="n">
        <x:v>0.6041666666666666</x:v>
      </x:c>
      <x:c r="P50" s="43" t="n">
        <x:v>0.6666666666666666</x:v>
      </x:c>
      <x:c r="Q50" s="39" t="n">
        <x:v>45</x:v>
      </x:c>
      <x:c r="R50" s="44" t="n">
        <x:v>12800</x:v>
      </x:c>
      <x:c r="S50" s="39" t="str">
        <x:v>Bajo</x:v>
      </x:c>
      <x:c r="T50" s="45" t="n">
        <x:v>0.24</x:v>
      </x:c>
      <x:c r="U50" s="39" t="n">
        <x:v>0</x:v>
      </x:c>
      <x:c r="V50" s="44" t="n">
        <x:v>0</x:v>
      </x:c>
      <x:c r="W50" s="39" t="str">
        <x:v>No</x:v>
      </x:c>
      <x:c r="X50" s="42"/>
      <x:c r="Y50" s="39" t="str">
        <x:v>No aplica</x:v>
      </x:c>
      <x:c r="Z50" s="39" t="n">
        <x:v>0</x:v>
      </x:c>
      <x:c r="AA50" s="39" t="str">
        <x:v>Respondió</x:v>
      </x:c>
      <x:c r="AB50" s="39" t="str">
        <x:v>No</x:v>
      </x:c>
      <x:c r="AC50" s="39" t="str">
        <x:v>No</x:v>
      </x:c>
      <x:c r="AD50" s="46" t="n">
        <x:f>IF(C50="COMERCIAL",IF(AC50="Sí",40,0)+IF(D50="Recurrente",15,0)+IF(S50="Alto",25,IF(S50="Medio",12,0))+IF(R50&gt;=30000,20,IF(R50&gt;=10000,12,IF(R50&gt;=5000,6,0)))+IF(N50&lt;=Metadatos!$B$13+1,25,0)+IF(AB50="Sí",15,0)+IF(AA50="No responde",-10,0),IF(Y50="Incumplido",40,0)+IF(AND(W50="Sí",X50=Metadatos!$B$13),35,0)+IF(V50&gt;=20000,25,IF(V50&gt;=10000,18,IF(V50&gt;=5000,10,0)))+IF(U50&gt;=15,25,IF(U50&gt;=6,20,IF(U50&gt;=3,10,0)))+IF(Z50&gt;=3,20,IF(Z50&gt;=2,10,0))+IF(AA50="Respondió",-10,0)+IF(AND(Y50="Vigente",X50&gt;Metadatos!$B$13),-10,0))</x:f>
        <x:v>27</x:v>
      </x:c>
      <x:c r="AE50" s="39" t="str">
        <x:f>IF(AD50&gt;=70,"P1",IF(AD50&gt;=50,"P2",IF(AD50&gt;=30,"P3","P4")))</x:f>
        <x:v>P4</x:v>
      </x:c>
      <x:c r="AF50" s="39" t="str">
        <x:v>Prospecto sin urgencia inmediata</x:v>
      </x:c>
      <x:c r="AG50" s="39" t="str">
        <x:v>Pendiente</x:v>
      </x:c>
      <x:c r="AH50" s="39" t="str">
        <x:v>https://www.google.com/maps?q=-5.201177,-80.651100</x:v>
      </x:c>
      <x:c r="AI50" s="39" t="str">
        <x:v>SINTÉTICO</x:v>
      </x:c>
    </x:row>
    <x:row r="51">
      <x:c r="A51" s="39" t="str">
        <x:v>CLI-050</x:v>
      </x:c>
      <x:c r="B51" s="39" t="str">
        <x:v>Cliente 050</x:v>
      </x:c>
      <x:c r="C51" s="39" t="str">
        <x:v>COBRANZA</x:v>
      </x:c>
      <x:c r="D51" s="39" t="str">
        <x:v>Deudor</x:v>
      </x:c>
      <x:c r="E51" s="39" t="str">
        <x:v>Cobranza de crédito</x:v>
      </x:c>
      <x:c r="F51" s="39" t="str">
        <x:v>Recuperación</x:v>
      </x:c>
      <x:c r="G51" s="40" t="n">
        <x:v>-5.213342</x:v>
      </x:c>
      <x:c r="H51" s="40" t="n">
        <x:v>-80.609333</x:v>
      </x:c>
      <x:c r="I51" s="39" t="str">
        <x:v>Piura</x:v>
      </x:c>
      <x:c r="J51" s="39" t="str">
        <x:v>Piura</x:v>
      </x:c>
      <x:c r="K51" s="39" t="str">
        <x:v>AG02</x:v>
      </x:c>
      <x:c r="L51" s="39" t="str">
        <x:v>Mibanco Sánchez Cerro</x:v>
      </x:c>
      <x:c r="M51" s="41" t="n">
        <x:v>3.47</x:v>
      </x:c>
      <x:c r="N51" s="42" t="n">
        <x:v>46294</x:v>
      </x:c>
      <x:c r="O51" s="43" t="n">
        <x:v>0.5833333333333334</x:v>
      </x:c>
      <x:c r="P51" s="43" t="n">
        <x:v>0.6458333333333334</x:v>
      </x:c>
      <x:c r="Q51" s="39" t="n">
        <x:v>35</x:v>
      </x:c>
      <x:c r="R51" s="44" t="n">
        <x:v>0</x:v>
      </x:c>
      <x:c r="S51" s="39" t="str">
        <x:v>No aplica</x:v>
      </x:c>
      <x:c r="T51" s="45" t="n">
        <x:v>0</x:v>
      </x:c>
      <x:c r="U51" s="39" t="n">
        <x:v>1</x:v>
      </x:c>
      <x:c r="V51" s="44" t="n">
        <x:v>7400</x:v>
      </x:c>
      <x:c r="W51" s="39" t="str">
        <x:v>No</x:v>
      </x:c>
      <x:c r="X51" s="42"/>
      <x:c r="Y51" s="39" t="str">
        <x:v>Sin compromiso</x:v>
      </x:c>
      <x:c r="Z51" s="39" t="n">
        <x:v>1</x:v>
      </x:c>
      <x:c r="AA51" s="39" t="str">
        <x:v>No responde</x:v>
      </x:c>
      <x:c r="AB51" s="39" t="str">
        <x:v>No</x:v>
      </x:c>
      <x:c r="AC51" s="39" t="str">
        <x:v>No</x:v>
      </x:c>
      <x:c r="AD51" s="46" t="n">
        <x:f>IF(C51="COMERCIAL",IF(AC51="Sí",40,0)+IF(D51="Recurrente",15,0)+IF(S51="Alto",25,IF(S51="Medio",12,0))+IF(R51&gt;=30000,20,IF(R51&gt;=10000,12,IF(R51&gt;=5000,6,0)))+IF(N51&lt;=Metadatos!$B$13+1,25,0)+IF(AB51="Sí",15,0)+IF(AA51="No responde",-10,0),IF(Y51="Incumplido",40,0)+IF(AND(W51="Sí",X51=Metadatos!$B$13),35,0)+IF(V51&gt;=20000,25,IF(V51&gt;=10000,18,IF(V51&gt;=5000,10,0)))+IF(U51&gt;=15,25,IF(U51&gt;=6,20,IF(U51&gt;=3,10,0)))+IF(Z51&gt;=3,20,IF(Z51&gt;=2,10,0))+IF(AA51="Respondió",-10,0)+IF(AND(Y51="Vigente",X51&gt;Metadatos!$B$13),-10,0))</x:f>
        <x:v>10</x:v>
      </x:c>
      <x:c r="AE51" s="39" t="str">
        <x:f>IF(AD51&gt;=70,"P1",IF(AD51&gt;=50,"P2",IF(AD51&gt;=30,"P3","P4")))</x:f>
        <x:v>P4</x:v>
      </x:c>
      <x:c r="AF51" s="39" t="str">
        <x:v>Mora reciente con seguimiento programable</x:v>
      </x:c>
      <x:c r="AG51" s="39" t="str">
        <x:v>Pendiente</x:v>
      </x:c>
      <x:c r="AH51" s="39" t="str">
        <x:v>https://www.google.com/maps?q=-5.213342,-80.609333</x:v>
      </x:c>
      <x:c r="AI51" s="39" t="str">
        <x:v>SINTÉTICO</x:v>
      </x:c>
    </x:row>
    <x:row r="52">
      <x:c r="A52" s="39" t="str">
        <x:v>CLI-051</x:v>
      </x:c>
      <x:c r="B52" s="39" t="str">
        <x:v>Cliente 051</x:v>
      </x:c>
      <x:c r="C52" s="39" t="str">
        <x:v>COMERCIAL</x:v>
      </x:c>
      <x:c r="D52" s="39" t="str">
        <x:v>Recurrente</x:v>
      </x:c>
      <x:c r="E52" s="39" t="str">
        <x:v>Crédito personal</x:v>
      </x:c>
      <x:c r="F52" s="39" t="str">
        <x:v>Prospecto</x:v>
      </x:c>
      <x:c r="G52" s="40" t="n">
        <x:v>-5.211086</x:v>
      </x:c>
      <x:c r="H52" s="40" t="n">
        <x:v>-80.640249</x:v>
      </x:c>
      <x:c r="I52" s="39" t="str">
        <x:v>Piura</x:v>
      </x:c>
      <x:c r="J52" s="39" t="str">
        <x:v>Piura</x:v>
      </x:c>
      <x:c r="K52" s="39" t="str">
        <x:v>AG02</x:v>
      </x:c>
      <x:c r="L52" s="39" t="str">
        <x:v>Mibanco Sánchez Cerro</x:v>
      </x:c>
      <x:c r="M52" s="41" t="n">
        <x:v>2.46</x:v>
      </x:c>
      <x:c r="N52" s="42" t="n">
        <x:v>46296</x:v>
      </x:c>
      <x:c r="O52" s="43" t="n">
        <x:v>0.5</x:v>
      </x:c>
      <x:c r="P52" s="43" t="n">
        <x:v>0.5833333333333334</x:v>
      </x:c>
      <x:c r="Q52" s="39" t="n">
        <x:v>60</x:v>
      </x:c>
      <x:c r="R52" s="44" t="n">
        <x:v>21900</x:v>
      </x:c>
      <x:c r="S52" s="39" t="str">
        <x:v>Bajo</x:v>
      </x:c>
      <x:c r="T52" s="45" t="n">
        <x:v>0.25</x:v>
      </x:c>
      <x:c r="U52" s="39" t="n">
        <x:v>0</x:v>
      </x:c>
      <x:c r="V52" s="44" t="n">
        <x:v>0</x:v>
      </x:c>
      <x:c r="W52" s="39" t="str">
        <x:v>No</x:v>
      </x:c>
      <x:c r="X52" s="42"/>
      <x:c r="Y52" s="39" t="str">
        <x:v>No aplica</x:v>
      </x:c>
      <x:c r="Z52" s="39" t="n">
        <x:v>0</x:v>
      </x:c>
      <x:c r="AA52" s="39" t="str">
        <x:v>Respondió</x:v>
      </x:c>
      <x:c r="AB52" s="39" t="str">
        <x:v>No</x:v>
      </x:c>
      <x:c r="AC52" s="39" t="str">
        <x:v>No</x:v>
      </x:c>
      <x:c r="AD52" s="46" t="n">
        <x:f>IF(C52="COMERCIAL",IF(AC52="Sí",40,0)+IF(D52="Recurrente",15,0)+IF(S52="Alto",25,IF(S52="Medio",12,0))+IF(R52&gt;=30000,20,IF(R52&gt;=10000,12,IF(R52&gt;=5000,6,0)))+IF(N52&lt;=Metadatos!$B$13+1,25,0)+IF(AB52="Sí",15,0)+IF(AA52="No responde",-10,0),IF(Y52="Incumplido",40,0)+IF(AND(W52="Sí",X52=Metadatos!$B$13),35,0)+IF(V52&gt;=20000,25,IF(V52&gt;=10000,18,IF(V52&gt;=5000,10,0)))+IF(U52&gt;=15,25,IF(U52&gt;=6,20,IF(U52&gt;=3,10,0)))+IF(Z52&gt;=3,20,IF(Z52&gt;=2,10,0))+IF(AA52="Respondió",-10,0)+IF(AND(Y52="Vigente",X52&gt;Metadatos!$B$13),-10,0))</x:f>
        <x:v>27</x:v>
      </x:c>
      <x:c r="AE52" s="39" t="str">
        <x:f>IF(AD52&gt;=70,"P1",IF(AD52&gt;=50,"P2",IF(AD52&gt;=30,"P3","P4")))</x:f>
        <x:v>P4</x:v>
      </x:c>
      <x:c r="AF52" s="39" t="str">
        <x:v>Prospecto sin urgencia inmediata</x:v>
      </x:c>
      <x:c r="AG52" s="39" t="str">
        <x:v>Pendiente</x:v>
      </x:c>
      <x:c r="AH52" s="39" t="str">
        <x:v>https://www.google.com/maps?q=-5.211086,-80.640249</x:v>
      </x:c>
      <x:c r="AI52" s="39" t="str">
        <x:v>SINTÉTICO</x:v>
      </x:c>
    </x:row>
    <x:row r="53">
      <x:c r="A53" s="39" t="str">
        <x:v>CLI-052</x:v>
      </x:c>
      <x:c r="B53" s="39" t="str">
        <x:v>Cliente 052</x:v>
      </x:c>
      <x:c r="C53" s="39" t="str">
        <x:v>COBRANZA</x:v>
      </x:c>
      <x:c r="D53" s="39" t="str">
        <x:v>Deudor</x:v>
      </x:c>
      <x:c r="E53" s="39" t="str">
        <x:v>Cobranza de crédito</x:v>
      </x:c>
      <x:c r="F53" s="39" t="str">
        <x:v>Recuperación</x:v>
      </x:c>
      <x:c r="G53" s="40" t="n">
        <x:v>-5.187527</x:v>
      </x:c>
      <x:c r="H53" s="40" t="n">
        <x:v>-80.603605</x:v>
      </x:c>
      <x:c r="I53" s="39" t="str">
        <x:v>Piura</x:v>
      </x:c>
      <x:c r="J53" s="39" t="str">
        <x:v>Piura</x:v>
      </x:c>
      <x:c r="K53" s="39" t="str">
        <x:v>AG02</x:v>
      </x:c>
      <x:c r="L53" s="39" t="str">
        <x:v>Mibanco Sánchez Cerro</x:v>
      </x:c>
      <x:c r="M53" s="41" t="n">
        <x:v>3.07</x:v>
      </x:c>
      <x:c r="N53" s="42" t="n">
        <x:v>46291</x:v>
      </x:c>
      <x:c r="O53" s="43" t="n">
        <x:v>0.6041666666666666</x:v>
      </x:c>
      <x:c r="P53" s="43" t="n">
        <x:v>0.6458333333333334</x:v>
      </x:c>
      <x:c r="Q53" s="39" t="n">
        <x:v>60</x:v>
      </x:c>
      <x:c r="R53" s="44" t="n">
        <x:v>0</x:v>
      </x:c>
      <x:c r="S53" s="39" t="str">
        <x:v>No aplica</x:v>
      </x:c>
      <x:c r="T53" s="45" t="n">
        <x:v>0</x:v>
      </x:c>
      <x:c r="U53" s="39" t="n">
        <x:v>28</x:v>
      </x:c>
      <x:c r="V53" s="44" t="n">
        <x:v>24700</x:v>
      </x:c>
      <x:c r="W53" s="39" t="str">
        <x:v>Sí</x:v>
      </x:c>
      <x:c r="X53" s="42" t="n">
        <x:v>46293</x:v>
      </x:c>
      <x:c r="Y53" s="39" t="str">
        <x:v>Vigente</x:v>
      </x:c>
      <x:c r="Z53" s="39" t="n">
        <x:v>2</x:v>
      </x:c>
      <x:c r="AA53" s="39" t="str">
        <x:v>Respondió</x:v>
      </x:c>
      <x:c r="AB53" s="39" t="str">
        <x:v>No</x:v>
      </x:c>
      <x:c r="AC53" s="39" t="str">
        <x:v>No</x:v>
      </x:c>
      <x:c r="AD53" s="46" t="n">
        <x:f>IF(C53="COMERCIAL",IF(AC53="Sí",40,0)+IF(D53="Recurrente",15,0)+IF(S53="Alto",25,IF(S53="Medio",12,0))+IF(R53&gt;=30000,20,IF(R53&gt;=10000,12,IF(R53&gt;=5000,6,0)))+IF(N53&lt;=Metadatos!$B$13+1,25,0)+IF(AB53="Sí",15,0)+IF(AA53="No responde",-10,0),IF(Y53="Incumplido",40,0)+IF(AND(W53="Sí",X53=Metadatos!$B$13),35,0)+IF(V53&gt;=20000,25,IF(V53&gt;=10000,18,IF(V53&gt;=5000,10,0)))+IF(U53&gt;=15,25,IF(U53&gt;=6,20,IF(U53&gt;=3,10,0)))+IF(Z53&gt;=3,20,IF(Z53&gt;=2,10,0))+IF(AA53="Respondió",-10,0)+IF(AND(Y53="Vigente",X53&gt;Metadatos!$B$13),-10,0))</x:f>
        <x:v>40</x:v>
      </x:c>
      <x:c r="AE53" s="39" t="str">
        <x:f>IF(AD53&gt;=70,"P1",IF(AD53&gt;=50,"P2",IF(AD53&gt;=30,"P3","P4")))</x:f>
        <x:v>P3</x:v>
      </x:c>
      <x:c r="AF53" s="39" t="str">
        <x:v>Mora elevada y saldo alto</x:v>
      </x:c>
      <x:c r="AG53" s="39" t="str">
        <x:v>Pendiente</x:v>
      </x:c>
      <x:c r="AH53" s="39" t="str">
        <x:v>https://www.google.com/maps?q=-5.187527,-80.603605</x:v>
      </x:c>
      <x:c r="AI53" s="39" t="str">
        <x:v>SINTÉTICO</x:v>
      </x:c>
    </x:row>
    <x:row r="54">
      <x:c r="A54" s="39" t="str">
        <x:v>CLI-053</x:v>
      </x:c>
      <x:c r="B54" s="39" t="str">
        <x:v>Cliente 053</x:v>
      </x:c>
      <x:c r="C54" s="39" t="str">
        <x:v>COMERCIAL</x:v>
      </x:c>
      <x:c r="D54" s="39" t="str">
        <x:v>Recurrente</x:v>
      </x:c>
      <x:c r="E54" s="39" t="str">
        <x:v>Seguro</x:v>
      </x:c>
      <x:c r="F54" s="39" t="str">
        <x:v>Contactado</x:v>
      </x:c>
      <x:c r="G54" s="40" t="n">
        <x:v>-5.165564</x:v>
      </x:c>
      <x:c r="H54" s="40" t="n">
        <x:v>-80.627004</x:v>
      </x:c>
      <x:c r="I54" s="39" t="str">
        <x:v>Piura</x:v>
      </x:c>
      <x:c r="J54" s="39" t="str">
        <x:v>Piura</x:v>
      </x:c>
      <x:c r="K54" s="39" t="str">
        <x:v>AG02</x:v>
      </x:c>
      <x:c r="L54" s="39" t="str">
        <x:v>Mibanco Sánchez Cerro</x:v>
      </x:c>
      <x:c r="M54" s="41" t="n">
        <x:v>2.86</x:v>
      </x:c>
      <x:c r="N54" s="42" t="n">
        <x:v>46293</x:v>
      </x:c>
      <x:c r="O54" s="43" t="n">
        <x:v>0.4791666666666667</x:v>
      </x:c>
      <x:c r="P54" s="43" t="n">
        <x:v>0.5625</x:v>
      </x:c>
      <x:c r="Q54" s="39" t="n">
        <x:v>40</x:v>
      </x:c>
      <x:c r="R54" s="44" t="n">
        <x:v>5100</x:v>
      </x:c>
      <x:c r="S54" s="39" t="str">
        <x:v>Medio</x:v>
      </x:c>
      <x:c r="T54" s="45" t="n">
        <x:v>0.44</x:v>
      </x:c>
      <x:c r="U54" s="39" t="n">
        <x:v>0</x:v>
      </x:c>
      <x:c r="V54" s="44" t="n">
        <x:v>0</x:v>
      </x:c>
      <x:c r="W54" s="39" t="str">
        <x:v>No</x:v>
      </x:c>
      <x:c r="X54" s="42"/>
      <x:c r="Y54" s="39" t="str">
        <x:v>No aplica</x:v>
      </x:c>
      <x:c r="Z54" s="39" t="n">
        <x:v>0</x:v>
      </x:c>
      <x:c r="AA54" s="39" t="str">
        <x:v>No responde</x:v>
      </x:c>
      <x:c r="AB54" s="39" t="str">
        <x:v>No</x:v>
      </x:c>
      <x:c r="AC54" s="39" t="str">
        <x:v>No</x:v>
      </x:c>
      <x:c r="AD54" s="46" t="n">
        <x:f>IF(C54="COMERCIAL",IF(AC54="Sí",40,0)+IF(D54="Recurrente",15,0)+IF(S54="Alto",25,IF(S54="Medio",12,0))+IF(R54&gt;=30000,20,IF(R54&gt;=10000,12,IF(R54&gt;=5000,6,0)))+IF(N54&lt;=Metadatos!$B$13+1,25,0)+IF(AB54="Sí",15,0)+IF(AA54="No responde",-10,0),IF(Y54="Incumplido",40,0)+IF(AND(W54="Sí",X54=Metadatos!$B$13),35,0)+IF(V54&gt;=20000,25,IF(V54&gt;=10000,18,IF(V54&gt;=5000,10,0)))+IF(U54&gt;=15,25,IF(U54&gt;=6,20,IF(U54&gt;=3,10,0)))+IF(Z54&gt;=3,20,IF(Z54&gt;=2,10,0))+IF(AA54="Respondió",-10,0)+IF(AND(Y54="Vigente",X54&gt;Metadatos!$B$13),-10,0))</x:f>
        <x:v>23</x:v>
      </x:c>
      <x:c r="AE54" s="39" t="str">
        <x:f>IF(AD54&gt;=70,"P1",IF(AD54&gt;=50,"P2",IF(AD54&gt;=30,"P3","P4")))</x:f>
        <x:v>P4</x:v>
      </x:c>
      <x:c r="AF54" s="39" t="str">
        <x:v>Cliente recurrente con oportunidad activa</x:v>
      </x:c>
      <x:c r="AG54" s="39" t="str">
        <x:v>Pendiente</x:v>
      </x:c>
      <x:c r="AH54" s="39" t="str">
        <x:v>https://www.google.com/maps?q=-5.165564,-80.627004</x:v>
      </x:c>
      <x:c r="AI54" s="39" t="str">
        <x:v>SINTÉTICO</x:v>
      </x:c>
    </x:row>
    <x:row r="55">
      <x:c r="A55" s="39" t="str">
        <x:v>CLI-054</x:v>
      </x:c>
      <x:c r="B55" s="39" t="str">
        <x:v>Cliente 054</x:v>
      </x:c>
      <x:c r="C55" s="39" t="str">
        <x:v>COBRANZA</x:v>
      </x:c>
      <x:c r="D55" s="39" t="str">
        <x:v>Deudor</x:v>
      </x:c>
      <x:c r="E55" s="39" t="str">
        <x:v>Cobranza de crédito</x:v>
      </x:c>
      <x:c r="F55" s="39" t="str">
        <x:v>Recuperación</x:v>
      </x:c>
      <x:c r="G55" s="40" t="n">
        <x:v>-5.225391</x:v>
      </x:c>
      <x:c r="H55" s="40" t="n">
        <x:v>-80.631864</x:v>
      </x:c>
      <x:c r="I55" s="39" t="str">
        <x:v>Piura</x:v>
      </x:c>
      <x:c r="J55" s="39" t="str">
        <x:v>Piura</x:v>
      </x:c>
      <x:c r="K55" s="39" t="str">
        <x:v>AG02</x:v>
      </x:c>
      <x:c r="L55" s="39" t="str">
        <x:v>Mibanco Sánchez Cerro</x:v>
      </x:c>
      <x:c r="M55" s="41" t="n">
        <x:v>3.84</x:v>
      </x:c>
      <x:c r="N55" s="42" t="n">
        <x:v>46291</x:v>
      </x:c>
      <x:c r="O55" s="43" t="n">
        <x:v>0.375</x:v>
      </x:c>
      <x:c r="P55" s="43" t="n">
        <x:v>0.4583333333333333</x:v>
      </x:c>
      <x:c r="Q55" s="39" t="n">
        <x:v>35</x:v>
      </x:c>
      <x:c r="R55" s="44" t="n">
        <x:v>0</x:v>
      </x:c>
      <x:c r="S55" s="39" t="str">
        <x:v>No aplica</x:v>
      </x:c>
      <x:c r="T55" s="45" t="n">
        <x:v>0</x:v>
      </x:c>
      <x:c r="U55" s="39" t="n">
        <x:v>15</x:v>
      </x:c>
      <x:c r="V55" s="44" t="n">
        <x:v>22200</x:v>
      </x:c>
      <x:c r="W55" s="39" t="str">
        <x:v>Sí</x:v>
      </x:c>
      <x:c r="X55" s="42" t="n">
        <x:v>46291</x:v>
      </x:c>
      <x:c r="Y55" s="39" t="str">
        <x:v>Vigente</x:v>
      </x:c>
      <x:c r="Z55" s="39" t="n">
        <x:v>3</x:v>
      </x:c>
      <x:c r="AA55" s="39" t="str">
        <x:v>No responde</x:v>
      </x:c>
      <x:c r="AB55" s="39" t="str">
        <x:v>No</x:v>
      </x:c>
      <x:c r="AC55" s="39" t="str">
        <x:v>Sí</x:v>
      </x:c>
      <x:c r="AD55" s="46" t="n">
        <x:f>IF(C55="COMERCIAL",IF(AC55="Sí",40,0)+IF(D55="Recurrente",15,0)+IF(S55="Alto",25,IF(S55="Medio",12,0))+IF(R55&gt;=30000,20,IF(R55&gt;=10000,12,IF(R55&gt;=5000,6,0)))+IF(N55&lt;=Metadatos!$B$13+1,25,0)+IF(AB55="Sí",15,0)+IF(AA55="No responde",-10,0),IF(Y55="Incumplido",40,0)+IF(AND(W55="Sí",X55=Metadatos!$B$13),35,0)+IF(V55&gt;=20000,25,IF(V55&gt;=10000,18,IF(V55&gt;=5000,10,0)))+IF(U55&gt;=15,25,IF(U55&gt;=6,20,IF(U55&gt;=3,10,0)))+IF(Z55&gt;=3,20,IF(Z55&gt;=2,10,0))+IF(AA55="Respondió",-10,0)+IF(AND(Y55="Vigente",X55&gt;Metadatos!$B$13),-10,0))</x:f>
        <x:v>105</x:v>
      </x:c>
      <x:c r="AE55" s="39" t="str">
        <x:f>IF(AD55&gt;=70,"P1",IF(AD55&gt;=50,"P2",IF(AD55&gt;=30,"P3","P4")))</x:f>
        <x:v>P1</x:v>
      </x:c>
      <x:c r="AF55" s="39" t="str">
        <x:v>Compromiso de pago con vencimiento hoy</x:v>
      </x:c>
      <x:c r="AG55" s="39" t="str">
        <x:v>Pendiente</x:v>
      </x:c>
      <x:c r="AH55" s="39" t="str">
        <x:v>https://www.google.com/maps?q=-5.225391,-80.631864</x:v>
      </x:c>
      <x:c r="AI55" s="39" t="str">
        <x:v>SINTÉTICO</x:v>
      </x:c>
    </x:row>
    <x:row r="56">
      <x:c r="A56" s="39" t="str">
        <x:v>CLI-055</x:v>
      </x:c>
      <x:c r="B56" s="39" t="str">
        <x:v>Cliente 055</x:v>
      </x:c>
      <x:c r="C56" s="39" t="str">
        <x:v>COMERCIAL</x:v>
      </x:c>
      <x:c r="D56" s="39" t="str">
        <x:v>Recurrente</x:v>
      </x:c>
      <x:c r="E56" s="39" t="str">
        <x:v>Ahorro</x:v>
      </x:c>
      <x:c r="F56" s="39" t="str">
        <x:v>Negociación</x:v>
      </x:c>
      <x:c r="G56" s="40" t="n">
        <x:v>-5.203649</x:v>
      </x:c>
      <x:c r="H56" s="40" t="n">
        <x:v>-80.616853</x:v>
      </x:c>
      <x:c r="I56" s="39" t="str">
        <x:v>Piura</x:v>
      </x:c>
      <x:c r="J56" s="39" t="str">
        <x:v>Piura</x:v>
      </x:c>
      <x:c r="K56" s="39" t="str">
        <x:v>AG02</x:v>
      </x:c>
      <x:c r="L56" s="39" t="str">
        <x:v>Mibanco Sánchez Cerro</x:v>
      </x:c>
      <x:c r="M56" s="41" t="n">
        <x:v>2.12</x:v>
      </x:c>
      <x:c r="N56" s="42" t="n">
        <x:v>46293</x:v>
      </x:c>
      <x:c r="O56" s="43" t="n">
        <x:v>0.5</x:v>
      </x:c>
      <x:c r="P56" s="43" t="n">
        <x:v>0.5625</x:v>
      </x:c>
      <x:c r="Q56" s="39" t="n">
        <x:v>60</x:v>
      </x:c>
      <x:c r="R56" s="44" t="n">
        <x:v>34000</x:v>
      </x:c>
      <x:c r="S56" s="39" t="str">
        <x:v>Alto</x:v>
      </x:c>
      <x:c r="T56" s="45" t="n">
        <x:v>0.87</x:v>
      </x:c>
      <x:c r="U56" s="39" t="n">
        <x:v>0</x:v>
      </x:c>
      <x:c r="V56" s="44" t="n">
        <x:v>0</x:v>
      </x:c>
      <x:c r="W56" s="39" t="str">
        <x:v>No</x:v>
      </x:c>
      <x:c r="X56" s="42"/>
      <x:c r="Y56" s="39" t="str">
        <x:v>No aplica</x:v>
      </x:c>
      <x:c r="Z56" s="39" t="n">
        <x:v>0</x:v>
      </x:c>
      <x:c r="AA56" s="39" t="str">
        <x:v>Respondió</x:v>
      </x:c>
      <x:c r="AB56" s="39" t="str">
        <x:v>Sí</x:v>
      </x:c>
      <x:c r="AC56" s="39" t="str">
        <x:v>No</x:v>
      </x:c>
      <x:c r="AD56" s="46" t="n">
        <x:f>IF(C56="COMERCIAL",IF(AC56="Sí",40,0)+IF(D56="Recurrente",15,0)+IF(S56="Alto",25,IF(S56="Medio",12,0))+IF(R56&gt;=30000,20,IF(R56&gt;=10000,12,IF(R56&gt;=5000,6,0)))+IF(N56&lt;=Metadatos!$B$13+1,25,0)+IF(AB56="Sí",15,0)+IF(AA56="No responde",-10,0),IF(Y56="Incumplido",40,0)+IF(AND(W56="Sí",X56=Metadatos!$B$13),35,0)+IF(V56&gt;=20000,25,IF(V56&gt;=10000,18,IF(V56&gt;=5000,10,0)))+IF(U56&gt;=15,25,IF(U56&gt;=6,20,IF(U56&gt;=3,10,0)))+IF(Z56&gt;=3,20,IF(Z56&gt;=2,10,0))+IF(AA56="Respondió",-10,0)+IF(AND(Y56="Vigente",X56&gt;Metadatos!$B$13),-10,0))</x:f>
        <x:v>75</x:v>
      </x:c>
      <x:c r="AE56" s="39" t="str">
        <x:f>IF(AD56&gt;=70,"P1",IF(AD56&gt;=50,"P2",IF(AD56&gt;=30,"P3","P4")))</x:f>
        <x:v>P1</x:v>
      </x:c>
      <x:c r="AF56" s="39" t="str">
        <x:v>Interés alto y monto comercial alto</x:v>
      </x:c>
      <x:c r="AG56" s="39" t="str">
        <x:v>Pendiente</x:v>
      </x:c>
      <x:c r="AH56" s="39" t="str">
        <x:v>https://www.google.com/maps?q=-5.203649,-80.616853</x:v>
      </x:c>
      <x:c r="AI56" s="39" t="str">
        <x:v>SINTÉTICO</x:v>
      </x:c>
    </x:row>
    <x:row r="57">
      <x:c r="A57" s="39" t="str">
        <x:v>CLI-056</x:v>
      </x:c>
      <x:c r="B57" s="39" t="str">
        <x:v>Cliente 056</x:v>
      </x:c>
      <x:c r="C57" s="39" t="str">
        <x:v>COBRANZA</x:v>
      </x:c>
      <x:c r="D57" s="39" t="str">
        <x:v>Deudor</x:v>
      </x:c>
      <x:c r="E57" s="39" t="str">
        <x:v>Cobranza de crédito</x:v>
      </x:c>
      <x:c r="F57" s="39" t="str">
        <x:v>Recuperación</x:v>
      </x:c>
      <x:c r="G57" s="40" t="n">
        <x:v>-5.185138</x:v>
      </x:c>
      <x:c r="H57" s="40" t="n">
        <x:v>-80.641304</x:v>
      </x:c>
      <x:c r="I57" s="39" t="str">
        <x:v>Piura</x:v>
      </x:c>
      <x:c r="J57" s="39" t="str">
        <x:v>Piura</x:v>
      </x:c>
      <x:c r="K57" s="39" t="str">
        <x:v>AG02</x:v>
      </x:c>
      <x:c r="L57" s="39" t="str">
        <x:v>Mibanco Sánchez Cerro</x:v>
      </x:c>
      <x:c r="M57" s="41" t="n">
        <x:v>1.3</x:v>
      </x:c>
      <x:c r="N57" s="42" t="n">
        <x:v>46291</x:v>
      </x:c>
      <x:c r="O57" s="43" t="n">
        <x:v>0.375</x:v>
      </x:c>
      <x:c r="P57" s="43" t="n">
        <x:v>0.4166666666666667</x:v>
      </x:c>
      <x:c r="Q57" s="39" t="n">
        <x:v>60</x:v>
      </x:c>
      <x:c r="R57" s="44" t="n">
        <x:v>0</x:v>
      </x:c>
      <x:c r="S57" s="39" t="str">
        <x:v>No aplica</x:v>
      </x:c>
      <x:c r="T57" s="45" t="n">
        <x:v>0</x:v>
      </x:c>
      <x:c r="U57" s="39" t="n">
        <x:v>18</x:v>
      </x:c>
      <x:c r="V57" s="44" t="n">
        <x:v>1000</x:v>
      </x:c>
      <x:c r="W57" s="39" t="str">
        <x:v>No</x:v>
      </x:c>
      <x:c r="X57" s="42"/>
      <x:c r="Y57" s="39" t="str">
        <x:v>Sin compromiso</x:v>
      </x:c>
      <x:c r="Z57" s="39" t="n">
        <x:v>1</x:v>
      </x:c>
      <x:c r="AA57" s="39" t="str">
        <x:v>Respondió</x:v>
      </x:c>
      <x:c r="AB57" s="39" t="str">
        <x:v>No</x:v>
      </x:c>
      <x:c r="AC57" s="39" t="str">
        <x:v>No</x:v>
      </x:c>
      <x:c r="AD57" s="46" t="n">
        <x:f>IF(C57="COMERCIAL",IF(AC57="Sí",40,0)+IF(D57="Recurrente",15,0)+IF(S57="Alto",25,IF(S57="Medio",12,0))+IF(R57&gt;=30000,20,IF(R57&gt;=10000,12,IF(R57&gt;=5000,6,0)))+IF(N57&lt;=Metadatos!$B$13+1,25,0)+IF(AB57="Sí",15,0)+IF(AA57="No responde",-10,0),IF(Y57="Incumplido",40,0)+IF(AND(W57="Sí",X57=Metadatos!$B$13),35,0)+IF(V57&gt;=20000,25,IF(V57&gt;=10000,18,IF(V57&gt;=5000,10,0)))+IF(U57&gt;=15,25,IF(U57&gt;=6,20,IF(U57&gt;=3,10,0)))+IF(Z57&gt;=3,20,IF(Z57&gt;=2,10,0))+IF(AA57="Respondió",-10,0)+IF(AND(Y57="Vigente",X57&gt;Metadatos!$B$13),-10,0))</x:f>
        <x:v>15</x:v>
      </x:c>
      <x:c r="AE57" s="39" t="str">
        <x:f>IF(AD57&gt;=70,"P1",IF(AD57&gt;=50,"P2",IF(AD57&gt;=30,"P3","P4")))</x:f>
        <x:v>P4</x:v>
      </x:c>
      <x:c r="AF57" s="39" t="str">
        <x:v>Seguimiento por días de mora</x:v>
      </x:c>
      <x:c r="AG57" s="39" t="str">
        <x:v>Programada</x:v>
      </x:c>
      <x:c r="AH57" s="39" t="str">
        <x:v>https://www.google.com/maps?q=-5.185138,-80.641304</x:v>
      </x:c>
      <x:c r="AI57" s="39" t="str">
        <x:v>SINTÉTICO</x:v>
      </x:c>
    </x:row>
    <x:row r="58">
      <x:c r="A58" s="39" t="str">
        <x:v>CLI-057</x:v>
      </x:c>
      <x:c r="B58" s="39" t="str">
        <x:v>Cliente 057</x:v>
      </x:c>
      <x:c r="C58" s="39" t="str">
        <x:v>COMERCIAL</x:v>
      </x:c>
      <x:c r="D58" s="39" t="str">
        <x:v>Nuevo</x:v>
      </x:c>
      <x:c r="E58" s="39" t="str">
        <x:v>Seguro</x:v>
      </x:c>
      <x:c r="F58" s="39" t="str">
        <x:v>Negociación</x:v>
      </x:c>
      <x:c r="G58" s="40" t="n">
        <x:v>-5.177167</x:v>
      </x:c>
      <x:c r="H58" s="40" t="n">
        <x:v>-80.647936</x:v>
      </x:c>
      <x:c r="I58" s="39" t="str">
        <x:v>Piura</x:v>
      </x:c>
      <x:c r="J58" s="39" t="str">
        <x:v>Piura</x:v>
      </x:c>
      <x:c r="K58" s="39" t="str">
        <x:v>AG02</x:v>
      </x:c>
      <x:c r="L58" s="39" t="str">
        <x:v>Mibanco Sánchez Cerro</x:v>
      </x:c>
      <x:c r="M58" s="41" t="n">
        <x:v>2.42</x:v>
      </x:c>
      <x:c r="N58" s="42" t="n">
        <x:v>46291</x:v>
      </x:c>
      <x:c r="O58" s="43" t="n">
        <x:v>0.4791666666666667</x:v>
      </x:c>
      <x:c r="P58" s="43" t="n">
        <x:v>0.5208333333333334</x:v>
      </x:c>
      <x:c r="Q58" s="39" t="n">
        <x:v>40</x:v>
      </x:c>
      <x:c r="R58" s="44" t="n">
        <x:v>28200</x:v>
      </x:c>
      <x:c r="S58" s="39" t="str">
        <x:v>Alto</x:v>
      </x:c>
      <x:c r="T58" s="45" t="n">
        <x:v>0.91</x:v>
      </x:c>
      <x:c r="U58" s="39" t="n">
        <x:v>0</x:v>
      </x:c>
      <x:c r="V58" s="44" t="n">
        <x:v>0</x:v>
      </x:c>
      <x:c r="W58" s="39" t="str">
        <x:v>No</x:v>
      </x:c>
      <x:c r="X58" s="42"/>
      <x:c r="Y58" s="39" t="str">
        <x:v>No aplica</x:v>
      </x:c>
      <x:c r="Z58" s="39" t="n">
        <x:v>0</x:v>
      </x:c>
      <x:c r="AA58" s="39" t="str">
        <x:v>Respondió</x:v>
      </x:c>
      <x:c r="AB58" s="39" t="str">
        <x:v>Sí</x:v>
      </x:c>
      <x:c r="AC58" s="39" t="str">
        <x:v>Sí</x:v>
      </x:c>
      <x:c r="AD58" s="46" t="n">
        <x:f>IF(C58="COMERCIAL",IF(AC58="Sí",40,0)+IF(D58="Recurrente",15,0)+IF(S58="Alto",25,IF(S58="Medio",12,0))+IF(R58&gt;=30000,20,IF(R58&gt;=10000,12,IF(R58&gt;=5000,6,0)))+IF(N58&lt;=Metadatos!$B$13+1,25,0)+IF(AB58="Sí",15,0)+IF(AA58="No responde",-10,0),IF(Y58="Incumplido",40,0)+IF(AND(W58="Sí",X58=Metadatos!$B$13),35,0)+IF(V58&gt;=20000,25,IF(V58&gt;=10000,18,IF(V58&gt;=5000,10,0)))+IF(U58&gt;=15,25,IF(U58&gt;=6,20,IF(U58&gt;=3,10,0)))+IF(Z58&gt;=3,20,IF(Z58&gt;=2,10,0))+IF(AA58="Respondió",-10,0)+IF(AND(Y58="Vigente",X58&gt;Metadatos!$B$13),-10,0))</x:f>
        <x:v>117</x:v>
      </x:c>
      <x:c r="AE58" s="39" t="str">
        <x:f>IF(AD58&gt;=70,"P1",IF(AD58&gt;=50,"P2",IF(AD58&gt;=30,"P3","P4")))</x:f>
        <x:v>P1</x:v>
      </x:c>
      <x:c r="AF58" s="39" t="str">
        <x:v>Operación comercial prevista hoy</x:v>
      </x:c>
      <x:c r="AG58" s="39" t="str">
        <x:v>Programada</x:v>
      </x:c>
      <x:c r="AH58" s="39" t="str">
        <x:v>https://www.google.com/maps?q=-5.177167,-80.647936</x:v>
      </x:c>
      <x:c r="AI58" s="39" t="str">
        <x:v>SINTÉTICO</x:v>
      </x:c>
    </x:row>
    <x:row r="59">
      <x:c r="A59" s="39" t="str">
        <x:v>CLI-058</x:v>
      </x:c>
      <x:c r="B59" s="39" t="str">
        <x:v>Cliente 058</x:v>
      </x:c>
      <x:c r="C59" s="39" t="str">
        <x:v>COBRANZA</x:v>
      </x:c>
      <x:c r="D59" s="39" t="str">
        <x:v>Deudor</x:v>
      </x:c>
      <x:c r="E59" s="39" t="str">
        <x:v>Cobranza de crédito</x:v>
      </x:c>
      <x:c r="F59" s="39" t="str">
        <x:v>Recuperación</x:v>
      </x:c>
      <x:c r="G59" s="40" t="n">
        <x:v>-5.196232</x:v>
      </x:c>
      <x:c r="H59" s="40" t="n">
        <x:v>-80.639903</x:v>
      </x:c>
      <x:c r="I59" s="39" t="str">
        <x:v>Piura</x:v>
      </x:c>
      <x:c r="J59" s="39" t="str">
        <x:v>Piura</x:v>
      </x:c>
      <x:c r="K59" s="39" t="str">
        <x:v>AG02</x:v>
      </x:c>
      <x:c r="L59" s="39" t="str">
        <x:v>Mibanco Sánchez Cerro</x:v>
      </x:c>
      <x:c r="M59" s="41" t="n">
        <x:v>1.14</x:v>
      </x:c>
      <x:c r="N59" s="42" t="n">
        <x:v>46293</x:v>
      </x:c>
      <x:c r="O59" s="43" t="n">
        <x:v>0.3958333333333333</x:v>
      </x:c>
      <x:c r="P59" s="43" t="n">
        <x:v>0.4791666666666667</x:v>
      </x:c>
      <x:c r="Q59" s="39" t="n">
        <x:v>35</x:v>
      </x:c>
      <x:c r="R59" s="44" t="n">
        <x:v>0</x:v>
      </x:c>
      <x:c r="S59" s="39" t="str">
        <x:v>No aplica</x:v>
      </x:c>
      <x:c r="T59" s="45" t="n">
        <x:v>0</x:v>
      </x:c>
      <x:c r="U59" s="39" t="n">
        <x:v>10</x:v>
      </x:c>
      <x:c r="V59" s="44" t="n">
        <x:v>900</x:v>
      </x:c>
      <x:c r="W59" s="39" t="str">
        <x:v>Sí</x:v>
      </x:c>
      <x:c r="X59" s="42" t="n">
        <x:v>46292</x:v>
      </x:c>
      <x:c r="Y59" s="39" t="str">
        <x:v>Vigente</x:v>
      </x:c>
      <x:c r="Z59" s="39" t="n">
        <x:v>1</x:v>
      </x:c>
      <x:c r="AA59" s="39" t="str">
        <x:v>No responde</x:v>
      </x:c>
      <x:c r="AB59" s="39" t="str">
        <x:v>No</x:v>
      </x:c>
      <x:c r="AC59" s="39" t="str">
        <x:v>No</x:v>
      </x:c>
      <x:c r="AD59" s="46" t="n">
        <x:f>IF(C59="COMERCIAL",IF(AC59="Sí",40,0)+IF(D59="Recurrente",15,0)+IF(S59="Alto",25,IF(S59="Medio",12,0))+IF(R59&gt;=30000,20,IF(R59&gt;=10000,12,IF(R59&gt;=5000,6,0)))+IF(N59&lt;=Metadatos!$B$13+1,25,0)+IF(AB59="Sí",15,0)+IF(AA59="No responde",-10,0),IF(Y59="Incumplido",40,0)+IF(AND(W59="Sí",X59=Metadatos!$B$13),35,0)+IF(V59&gt;=20000,25,IF(V59&gt;=10000,18,IF(V59&gt;=5000,10,0)))+IF(U59&gt;=15,25,IF(U59&gt;=6,20,IF(U59&gt;=3,10,0)))+IF(Z59&gt;=3,20,IF(Z59&gt;=2,10,0))+IF(AA59="Respondió",-10,0)+IF(AND(Y59="Vigente",X59&gt;Metadatos!$B$13),-10,0))</x:f>
        <x:v>10</x:v>
      </x:c>
      <x:c r="AE59" s="39" t="str">
        <x:f>IF(AD59&gt;=70,"P1",IF(AD59&gt;=50,"P2",IF(AD59&gt;=30,"P3","P4")))</x:f>
        <x:v>P4</x:v>
      </x:c>
      <x:c r="AF59" s="39" t="str">
        <x:v>Seguimiento por días de mora</x:v>
      </x:c>
      <x:c r="AG59" s="39" t="str">
        <x:v>Pendiente</x:v>
      </x:c>
      <x:c r="AH59" s="39" t="str">
        <x:v>https://www.google.com/maps?q=-5.196232,-80.639903</x:v>
      </x:c>
      <x:c r="AI59" s="39" t="str">
        <x:v>SINTÉTICO</x:v>
      </x:c>
    </x:row>
    <x:row r="60">
      <x:c r="A60" s="39" t="str">
        <x:v>CLI-059</x:v>
      </x:c>
      <x:c r="B60" s="39" t="str">
        <x:v>Cliente 059</x:v>
      </x:c>
      <x:c r="C60" s="39" t="str">
        <x:v>COMERCIAL</x:v>
      </x:c>
      <x:c r="D60" s="39" t="str">
        <x:v>Nuevo</x:v>
      </x:c>
      <x:c r="E60" s="39" t="str">
        <x:v>Capital de trabajo</x:v>
      </x:c>
      <x:c r="F60" s="39" t="str">
        <x:v>Contactado</x:v>
      </x:c>
      <x:c r="G60" s="40" t="n">
        <x:v>-5.198721</x:v>
      </x:c>
      <x:c r="H60" s="40" t="n">
        <x:v>-80.641982</x:v>
      </x:c>
      <x:c r="I60" s="39" t="str">
        <x:v>Piura</x:v>
      </x:c>
      <x:c r="J60" s="39" t="str">
        <x:v>Piura</x:v>
      </x:c>
      <x:c r="K60" s="39" t="str">
        <x:v>AG02</x:v>
      </x:c>
      <x:c r="L60" s="39" t="str">
        <x:v>Mibanco Sánchez Cerro</x:v>
      </x:c>
      <x:c r="M60" s="41" t="n">
        <x:v>1.49</x:v>
      </x:c>
      <x:c r="N60" s="42" t="n">
        <x:v>46292</x:v>
      </x:c>
      <x:c r="O60" s="43" t="n">
        <x:v>0.4375</x:v>
      </x:c>
      <x:c r="P60" s="43" t="n">
        <x:v>0.5</x:v>
      </x:c>
      <x:c r="Q60" s="39" t="n">
        <x:v>30</x:v>
      </x:c>
      <x:c r="R60" s="44" t="n">
        <x:v>47500</x:v>
      </x:c>
      <x:c r="S60" s="39" t="str">
        <x:v>Medio</x:v>
      </x:c>
      <x:c r="T60" s="45" t="n">
        <x:v>0.57</x:v>
      </x:c>
      <x:c r="U60" s="39" t="n">
        <x:v>0</x:v>
      </x:c>
      <x:c r="V60" s="44" t="n">
        <x:v>0</x:v>
      </x:c>
      <x:c r="W60" s="39" t="str">
        <x:v>No</x:v>
      </x:c>
      <x:c r="X60" s="42"/>
      <x:c r="Y60" s="39" t="str">
        <x:v>No aplica</x:v>
      </x:c>
      <x:c r="Z60" s="39" t="n">
        <x:v>0</x:v>
      </x:c>
      <x:c r="AA60" s="39" t="str">
        <x:v>Respondió</x:v>
      </x:c>
      <x:c r="AB60" s="39" t="str">
        <x:v>Sí</x:v>
      </x:c>
      <x:c r="AC60" s="39" t="str">
        <x:v>No</x:v>
      </x:c>
      <x:c r="AD60" s="46" t="n">
        <x:f>IF(C60="COMERCIAL",IF(AC60="Sí",40,0)+IF(D60="Recurrente",15,0)+IF(S60="Alto",25,IF(S60="Medio",12,0))+IF(R60&gt;=30000,20,IF(R60&gt;=10000,12,IF(R60&gt;=5000,6,0)))+IF(N60&lt;=Metadatos!$B$13+1,25,0)+IF(AB60="Sí",15,0)+IF(AA60="No responde",-10,0),IF(Y60="Incumplido",40,0)+IF(AND(W60="Sí",X60=Metadatos!$B$13),35,0)+IF(V60&gt;=20000,25,IF(V60&gt;=10000,18,IF(V60&gt;=5000,10,0)))+IF(U60&gt;=15,25,IF(U60&gt;=6,20,IF(U60&gt;=3,10,0)))+IF(Z60&gt;=3,20,IF(Z60&gt;=2,10,0))+IF(AA60="Respondió",-10,0)+IF(AND(Y60="Vigente",X60&gt;Metadatos!$B$13),-10,0))</x:f>
        <x:v>72</x:v>
      </x:c>
      <x:c r="AE60" s="39" t="str">
        <x:f>IF(AD60&gt;=70,"P1",IF(AD60&gt;=50,"P2",IF(AD60&gt;=30,"P3","P4")))</x:f>
        <x:v>P1</x:v>
      </x:c>
      <x:c r="AF60" s="39" t="str">
        <x:v>Interés medio; requiere seguimiento</x:v>
      </x:c>
      <x:c r="AG60" s="39" t="str">
        <x:v>Pendiente</x:v>
      </x:c>
      <x:c r="AH60" s="39" t="str">
        <x:v>https://www.google.com/maps?q=-5.198721,-80.641982</x:v>
      </x:c>
      <x:c r="AI60" s="39" t="str">
        <x:v>SINTÉTICO</x:v>
      </x:c>
    </x:row>
    <x:row r="61">
      <x:c r="A61" s="39" t="str">
        <x:v>CLI-060</x:v>
      </x:c>
      <x:c r="B61" s="39" t="str">
        <x:v>Cliente 060</x:v>
      </x:c>
      <x:c r="C61" s="39" t="str">
        <x:v>COBRANZA</x:v>
      </x:c>
      <x:c r="D61" s="39" t="str">
        <x:v>Deudor</x:v>
      </x:c>
      <x:c r="E61" s="39" t="str">
        <x:v>Cobranza de crédito</x:v>
      </x:c>
      <x:c r="F61" s="39" t="str">
        <x:v>Recuperación</x:v>
      </x:c>
      <x:c r="G61" s="40" t="n">
        <x:v>-5.158961</x:v>
      </x:c>
      <x:c r="H61" s="40" t="n">
        <x:v>-80.647151</x:v>
      </x:c>
      <x:c r="I61" s="39" t="str">
        <x:v>Piura</x:v>
      </x:c>
      <x:c r="J61" s="39" t="str">
        <x:v>Piura</x:v>
      </x:c>
      <x:c r="K61" s="39" t="str">
        <x:v>AG02</x:v>
      </x:c>
      <x:c r="L61" s="39" t="str">
        <x:v>Mibanco Sánchez Cerro</x:v>
      </x:c>
      <x:c r="M61" s="41" t="n">
        <x:v>3.98</x:v>
      </x:c>
      <x:c r="N61" s="42" t="n">
        <x:v>46292</x:v>
      </x:c>
      <x:c r="O61" s="43" t="n">
        <x:v>0.5833333333333334</x:v>
      </x:c>
      <x:c r="P61" s="43" t="n">
        <x:v>0.6458333333333334</x:v>
      </x:c>
      <x:c r="Q61" s="39" t="n">
        <x:v>35</x:v>
      </x:c>
      <x:c r="R61" s="44" t="n">
        <x:v>0</x:v>
      </x:c>
      <x:c r="S61" s="39" t="str">
        <x:v>No aplica</x:v>
      </x:c>
      <x:c r="T61" s="45" t="n">
        <x:v>0</x:v>
      </x:c>
      <x:c r="U61" s="39" t="n">
        <x:v>2</x:v>
      </x:c>
      <x:c r="V61" s="44" t="n">
        <x:v>21100</x:v>
      </x:c>
      <x:c r="W61" s="39" t="str">
        <x:v>Sí</x:v>
      </x:c>
      <x:c r="X61" s="42" t="n">
        <x:v>46292</x:v>
      </x:c>
      <x:c r="Y61" s="39" t="str">
        <x:v>Vigente</x:v>
      </x:c>
      <x:c r="Z61" s="39" t="n">
        <x:v>3</x:v>
      </x:c>
      <x:c r="AA61" s="39" t="str">
        <x:v>No responde</x:v>
      </x:c>
      <x:c r="AB61" s="39" t="str">
        <x:v>No</x:v>
      </x:c>
      <x:c r="AC61" s="39" t="str">
        <x:v>No</x:v>
      </x:c>
      <x:c r="AD61" s="46" t="n">
        <x:f>IF(C61="COMERCIAL",IF(AC61="Sí",40,0)+IF(D61="Recurrente",15,0)+IF(S61="Alto",25,IF(S61="Medio",12,0))+IF(R61&gt;=30000,20,IF(R61&gt;=10000,12,IF(R61&gt;=5000,6,0)))+IF(N61&lt;=Metadatos!$B$13+1,25,0)+IF(AB61="Sí",15,0)+IF(AA61="No responde",-10,0),IF(Y61="Incumplido",40,0)+IF(AND(W61="Sí",X61=Metadatos!$B$13),35,0)+IF(V61&gt;=20000,25,IF(V61&gt;=10000,18,IF(V61&gt;=5000,10,0)))+IF(U61&gt;=15,25,IF(U61&gt;=6,20,IF(U61&gt;=3,10,0)))+IF(Z61&gt;=3,20,IF(Z61&gt;=2,10,0))+IF(AA61="Respondió",-10,0)+IF(AND(Y61="Vigente",X61&gt;Metadatos!$B$13),-10,0))</x:f>
        <x:v>35</x:v>
      </x:c>
      <x:c r="AE61" s="39" t="str">
        <x:f>IF(AD61&gt;=70,"P1",IF(AD61&gt;=50,"P2",IF(AD61&gt;=30,"P3","P4")))</x:f>
        <x:v>P3</x:v>
      </x:c>
      <x:c r="AF61" s="39" t="str">
        <x:v>Varios intentos sin respuesta</x:v>
      </x:c>
      <x:c r="AG61" s="39" t="str">
        <x:v>Programada</x:v>
      </x:c>
      <x:c r="AH61" s="39" t="str">
        <x:v>https://www.google.com/maps?q=-5.158961,-80.647151</x:v>
      </x:c>
      <x:c r="AI61" s="39" t="str">
        <x:v>SINTÉTICO</x:v>
      </x:c>
    </x:row>
    <x:row r="62">
      <x:c r="A62" s="39" t="str">
        <x:v>CLI-061</x:v>
      </x:c>
      <x:c r="B62" s="39" t="str">
        <x:v>Cliente 061</x:v>
      </x:c>
      <x:c r="C62" s="39" t="str">
        <x:v>COMERCIAL</x:v>
      </x:c>
      <x:c r="D62" s="39" t="str">
        <x:v>Recurrente</x:v>
      </x:c>
      <x:c r="E62" s="39" t="str">
        <x:v>Crédito para negocio</x:v>
      </x:c>
      <x:c r="F62" s="39" t="str">
        <x:v>Prospecto</x:v>
      </x:c>
      <x:c r="G62" s="40" t="n">
        <x:v>-5.170999</x:v>
      </x:c>
      <x:c r="H62" s="40" t="n">
        <x:v>-80.637137</x:v>
      </x:c>
      <x:c r="I62" s="39" t="str">
        <x:v>Piura</x:v>
      </x:c>
      <x:c r="J62" s="39" t="str">
        <x:v>Piura</x:v>
      </x:c>
      <x:c r="K62" s="39" t="str">
        <x:v>AG02</x:v>
      </x:c>
      <x:c r="L62" s="39" t="str">
        <x:v>Mibanco Sánchez Cerro</x:v>
      </x:c>
      <x:c r="M62" s="41" t="n">
        <x:v>2.32</x:v>
      </x:c>
      <x:c r="N62" s="42" t="n">
        <x:v>46296</x:v>
      </x:c>
      <x:c r="O62" s="43" t="n">
        <x:v>0.3541666666666667</x:v>
      </x:c>
      <x:c r="P62" s="43" t="n">
        <x:v>0.4375</x:v>
      </x:c>
      <x:c r="Q62" s="39" t="n">
        <x:v>30</x:v>
      </x:c>
      <x:c r="R62" s="44" t="n">
        <x:v>49600</x:v>
      </x:c>
      <x:c r="S62" s="39" t="str">
        <x:v>Bajo</x:v>
      </x:c>
      <x:c r="T62" s="45" t="n">
        <x:v>0.22</x:v>
      </x:c>
      <x:c r="U62" s="39" t="n">
        <x:v>0</x:v>
      </x:c>
      <x:c r="V62" s="44" t="n">
        <x:v>0</x:v>
      </x:c>
      <x:c r="W62" s="39" t="str">
        <x:v>No</x:v>
      </x:c>
      <x:c r="X62" s="42"/>
      <x:c r="Y62" s="39" t="str">
        <x:v>No aplica</x:v>
      </x:c>
      <x:c r="Z62" s="39" t="n">
        <x:v>0</x:v>
      </x:c>
      <x:c r="AA62" s="39" t="str">
        <x:v>No responde</x:v>
      </x:c>
      <x:c r="AB62" s="39" t="str">
        <x:v>No</x:v>
      </x:c>
      <x:c r="AC62" s="39" t="str">
        <x:v>No</x:v>
      </x:c>
      <x:c r="AD62" s="46" t="n">
        <x:f>IF(C62="COMERCIAL",IF(AC62="Sí",40,0)+IF(D62="Recurrente",15,0)+IF(S62="Alto",25,IF(S62="Medio",12,0))+IF(R62&gt;=30000,20,IF(R62&gt;=10000,12,IF(R62&gt;=5000,6,0)))+IF(N62&lt;=Metadatos!$B$13+1,25,0)+IF(AB62="Sí",15,0)+IF(AA62="No responde",-10,0),IF(Y62="Incumplido",40,0)+IF(AND(W62="Sí",X62=Metadatos!$B$13),35,0)+IF(V62&gt;=20000,25,IF(V62&gt;=10000,18,IF(V62&gt;=5000,10,0)))+IF(U62&gt;=15,25,IF(U62&gt;=6,20,IF(U62&gt;=3,10,0)))+IF(Z62&gt;=3,20,IF(Z62&gt;=2,10,0))+IF(AA62="Respondió",-10,0)+IF(AND(Y62="Vigente",X62&gt;Metadatos!$B$13),-10,0))</x:f>
        <x:v>25</x:v>
      </x:c>
      <x:c r="AE62" s="39" t="str">
        <x:f>IF(AD62&gt;=70,"P1",IF(AD62&gt;=50,"P2",IF(AD62&gt;=30,"P3","P4")))</x:f>
        <x:v>P4</x:v>
      </x:c>
      <x:c r="AF62" s="39" t="str">
        <x:v>Prospecto sin urgencia inmediata</x:v>
      </x:c>
      <x:c r="AG62" s="39" t="str">
        <x:v>Pendiente</x:v>
      </x:c>
      <x:c r="AH62" s="39" t="str">
        <x:v>https://www.google.com/maps?q=-5.170999,-80.637137</x:v>
      </x:c>
      <x:c r="AI62" s="39" t="str">
        <x:v>SINTÉTICO</x:v>
      </x:c>
    </x:row>
    <x:row r="63">
      <x:c r="A63" s="39" t="str">
        <x:v>CLI-062</x:v>
      </x:c>
      <x:c r="B63" s="39" t="str">
        <x:v>Cliente 062</x:v>
      </x:c>
      <x:c r="C63" s="39" t="str">
        <x:v>COBRANZA</x:v>
      </x:c>
      <x:c r="D63" s="39" t="str">
        <x:v>Deudor</x:v>
      </x:c>
      <x:c r="E63" s="39" t="str">
        <x:v>Cobranza de crédito</x:v>
      </x:c>
      <x:c r="F63" s="39" t="str">
        <x:v>Recuperación</x:v>
      </x:c>
      <x:c r="G63" s="40" t="n">
        <x:v>-5.183708</x:v>
      </x:c>
      <x:c r="H63" s="40" t="n">
        <x:v>-80.625468</x:v>
      </x:c>
      <x:c r="I63" s="39" t="str">
        <x:v>Piura</x:v>
      </x:c>
      <x:c r="J63" s="39" t="str">
        <x:v>Piura</x:v>
      </x:c>
      <x:c r="K63" s="39" t="str">
        <x:v>AG02</x:v>
      </x:c>
      <x:c r="L63" s="39" t="str">
        <x:v>Mibanco Sánchez Cerro</x:v>
      </x:c>
      <x:c r="M63" s="41" t="n">
        <x:v>1.02</x:v>
      </x:c>
      <x:c r="N63" s="42" t="n">
        <x:v>46291</x:v>
      </x:c>
      <x:c r="O63" s="43" t="n">
        <x:v>0.5</x:v>
      </x:c>
      <x:c r="P63" s="43" t="n">
        <x:v>0.5625</x:v>
      </x:c>
      <x:c r="Q63" s="39" t="n">
        <x:v>30</x:v>
      </x:c>
      <x:c r="R63" s="44" t="n">
        <x:v>0</x:v>
      </x:c>
      <x:c r="S63" s="39" t="str">
        <x:v>No aplica</x:v>
      </x:c>
      <x:c r="T63" s="45" t="n">
        <x:v>0</x:v>
      </x:c>
      <x:c r="U63" s="39" t="n">
        <x:v>15</x:v>
      </x:c>
      <x:c r="V63" s="44" t="n">
        <x:v>10000</x:v>
      </x:c>
      <x:c r="W63" s="39" t="str">
        <x:v>No</x:v>
      </x:c>
      <x:c r="X63" s="42"/>
      <x:c r="Y63" s="39" t="str">
        <x:v>Sin compromiso</x:v>
      </x:c>
      <x:c r="Z63" s="39" t="n">
        <x:v>2</x:v>
      </x:c>
      <x:c r="AA63" s="39" t="str">
        <x:v>Respondió</x:v>
      </x:c>
      <x:c r="AB63" s="39" t="str">
        <x:v>No</x:v>
      </x:c>
      <x:c r="AC63" s="39" t="str">
        <x:v>No</x:v>
      </x:c>
      <x:c r="AD63" s="46" t="n">
        <x:f>IF(C63="COMERCIAL",IF(AC63="Sí",40,0)+IF(D63="Recurrente",15,0)+IF(S63="Alto",25,IF(S63="Medio",12,0))+IF(R63&gt;=30000,20,IF(R63&gt;=10000,12,IF(R63&gt;=5000,6,0)))+IF(N63&lt;=Metadatos!$B$13+1,25,0)+IF(AB63="Sí",15,0)+IF(AA63="No responde",-10,0),IF(Y63="Incumplido",40,0)+IF(AND(W63="Sí",X63=Metadatos!$B$13),35,0)+IF(V63&gt;=20000,25,IF(V63&gt;=10000,18,IF(V63&gt;=5000,10,0)))+IF(U63&gt;=15,25,IF(U63&gt;=6,20,IF(U63&gt;=3,10,0)))+IF(Z63&gt;=3,20,IF(Z63&gt;=2,10,0))+IF(AA63="Respondió",-10,0)+IF(AND(Y63="Vigente",X63&gt;Metadatos!$B$13),-10,0))</x:f>
        <x:v>43</x:v>
      </x:c>
      <x:c r="AE63" s="39" t="str">
        <x:f>IF(AD63&gt;=70,"P1",IF(AD63&gt;=50,"P2",IF(AD63&gt;=30,"P3","P4")))</x:f>
        <x:v>P3</x:v>
      </x:c>
      <x:c r="AF63" s="39" t="str">
        <x:v>Mora elevada y saldo alto</x:v>
      </x:c>
      <x:c r="AG63" s="39" t="str">
        <x:v>Pendiente</x:v>
      </x:c>
      <x:c r="AH63" s="39" t="str">
        <x:v>https://www.google.com/maps?q=-5.183708,-80.625468</x:v>
      </x:c>
      <x:c r="AI63" s="39" t="str">
        <x:v>SINTÉTICO</x:v>
      </x:c>
    </x:row>
    <x:row r="64">
      <x:c r="A64" s="39" t="str">
        <x:v>CLI-063</x:v>
      </x:c>
      <x:c r="B64" s="39" t="str">
        <x:v>Cliente 063</x:v>
      </x:c>
      <x:c r="C64" s="39" t="str">
        <x:v>COMERCIAL</x:v>
      </x:c>
      <x:c r="D64" s="39" t="str">
        <x:v>Nuevo</x:v>
      </x:c>
      <x:c r="E64" s="39" t="str">
        <x:v>Seguro</x:v>
      </x:c>
      <x:c r="F64" s="39" t="str">
        <x:v>Negociación</x:v>
      </x:c>
      <x:c r="G64" s="40" t="n">
        <x:v>-5.197009</x:v>
      </x:c>
      <x:c r="H64" s="40" t="n">
        <x:v>-80.663646</x:v>
      </x:c>
      <x:c r="I64" s="39" t="str">
        <x:v>Piura</x:v>
      </x:c>
      <x:c r="J64" s="39" t="str">
        <x:v>Piura</x:v>
      </x:c>
      <x:c r="K64" s="39" t="str">
        <x:v>AG02</x:v>
      </x:c>
      <x:c r="L64" s="39" t="str">
        <x:v>Mibanco Sánchez Cerro</x:v>
      </x:c>
      <x:c r="M64" s="41" t="n">
        <x:v>3.67</x:v>
      </x:c>
      <x:c r="N64" s="42" t="n">
        <x:v>46293</x:v>
      </x:c>
      <x:c r="O64" s="43" t="n">
        <x:v>0.5833333333333334</x:v>
      </x:c>
      <x:c r="P64" s="43" t="n">
        <x:v>0.625</x:v>
      </x:c>
      <x:c r="Q64" s="39" t="n">
        <x:v>40</x:v>
      </x:c>
      <x:c r="R64" s="44" t="n">
        <x:v>5700</x:v>
      </x:c>
      <x:c r="S64" s="39" t="str">
        <x:v>Medio</x:v>
      </x:c>
      <x:c r="T64" s="45" t="n">
        <x:v>0.65</x:v>
      </x:c>
      <x:c r="U64" s="39" t="n">
        <x:v>0</x:v>
      </x:c>
      <x:c r="V64" s="44" t="n">
        <x:v>0</x:v>
      </x:c>
      <x:c r="W64" s="39" t="str">
        <x:v>No</x:v>
      </x:c>
      <x:c r="X64" s="42"/>
      <x:c r="Y64" s="39" t="str">
        <x:v>No aplica</x:v>
      </x:c>
      <x:c r="Z64" s="39" t="n">
        <x:v>0</x:v>
      </x:c>
      <x:c r="AA64" s="39" t="str">
        <x:v>No responde</x:v>
      </x:c>
      <x:c r="AB64" s="39" t="str">
        <x:v>No</x:v>
      </x:c>
      <x:c r="AC64" s="39" t="str">
        <x:v>No</x:v>
      </x:c>
      <x:c r="AD64" s="46" t="n">
        <x:f>IF(C64="COMERCIAL",IF(AC64="Sí",40,0)+IF(D64="Recurrente",15,0)+IF(S64="Alto",25,IF(S64="Medio",12,0))+IF(R64&gt;=30000,20,IF(R64&gt;=10000,12,IF(R64&gt;=5000,6,0)))+IF(N64&lt;=Metadatos!$B$13+1,25,0)+IF(AB64="Sí",15,0)+IF(AA64="No responde",-10,0),IF(Y64="Incumplido",40,0)+IF(AND(W64="Sí",X64=Metadatos!$B$13),35,0)+IF(V64&gt;=20000,25,IF(V64&gt;=10000,18,IF(V64&gt;=5000,10,0)))+IF(U64&gt;=15,25,IF(U64&gt;=6,20,IF(U64&gt;=3,10,0)))+IF(Z64&gt;=3,20,IF(Z64&gt;=2,10,0))+IF(AA64="Respondió",-10,0)+IF(AND(Y64="Vigente",X64&gt;Metadatos!$B$13),-10,0))</x:f>
        <x:v>8</x:v>
      </x:c>
      <x:c r="AE64" s="39" t="str">
        <x:f>IF(AD64&gt;=70,"P1",IF(AD64&gt;=50,"P2",IF(AD64&gt;=30,"P3","P4")))</x:f>
        <x:v>P4</x:v>
      </x:c>
      <x:c r="AF64" s="39" t="str">
        <x:v>Interés medio; requiere seguimiento</x:v>
      </x:c>
      <x:c r="AG64" s="39" t="str">
        <x:v>Pendiente</x:v>
      </x:c>
      <x:c r="AH64" s="39" t="str">
        <x:v>https://www.google.com/maps?q=-5.197009,-80.663646</x:v>
      </x:c>
      <x:c r="AI64" s="39" t="str">
        <x:v>SINTÉTICO</x:v>
      </x:c>
    </x:row>
    <x:row r="65">
      <x:c r="A65" s="39" t="str">
        <x:v>CLI-064</x:v>
      </x:c>
      <x:c r="B65" s="39" t="str">
        <x:v>Cliente 064</x:v>
      </x:c>
      <x:c r="C65" s="39" t="str">
        <x:v>COBRANZA</x:v>
      </x:c>
      <x:c r="D65" s="39" t="str">
        <x:v>Deudor</x:v>
      </x:c>
      <x:c r="E65" s="39" t="str">
        <x:v>Cobranza de crédito</x:v>
      </x:c>
      <x:c r="F65" s="39" t="str">
        <x:v>Recuperación</x:v>
      </x:c>
      <x:c r="G65" s="40" t="n">
        <x:v>-5.206476</x:v>
      </x:c>
      <x:c r="H65" s="40" t="n">
        <x:v>-80.602724</x:v>
      </x:c>
      <x:c r="I65" s="39" t="str">
        <x:v>Piura</x:v>
      </x:c>
      <x:c r="J65" s="39" t="str">
        <x:v>Piura</x:v>
      </x:c>
      <x:c r="K65" s="39" t="str">
        <x:v>AG02</x:v>
      </x:c>
      <x:c r="L65" s="39" t="str">
        <x:v>Mibanco Sánchez Cerro</x:v>
      </x:c>
      <x:c r="M65" s="41" t="n">
        <x:v>3.59</x:v>
      </x:c>
      <x:c r="N65" s="42" t="n">
        <x:v>46293</x:v>
      </x:c>
      <x:c r="O65" s="43" t="n">
        <x:v>0.4583333333333333</x:v>
      </x:c>
      <x:c r="P65" s="43" t="n">
        <x:v>0.5</x:v>
      </x:c>
      <x:c r="Q65" s="39" t="n">
        <x:v>50</x:v>
      </x:c>
      <x:c r="R65" s="44" t="n">
        <x:v>0</x:v>
      </x:c>
      <x:c r="S65" s="39" t="str">
        <x:v>No aplica</x:v>
      </x:c>
      <x:c r="T65" s="45" t="n">
        <x:v>0</x:v>
      </x:c>
      <x:c r="U65" s="39" t="n">
        <x:v>4</x:v>
      </x:c>
      <x:c r="V65" s="44" t="n">
        <x:v>8600</x:v>
      </x:c>
      <x:c r="W65" s="39" t="str">
        <x:v>No</x:v>
      </x:c>
      <x:c r="X65" s="42"/>
      <x:c r="Y65" s="39" t="str">
        <x:v>Sin compromiso</x:v>
      </x:c>
      <x:c r="Z65" s="39" t="n">
        <x:v>3</x:v>
      </x:c>
      <x:c r="AA65" s="39" t="str">
        <x:v>Respondió</x:v>
      </x:c>
      <x:c r="AB65" s="39" t="str">
        <x:v>No</x:v>
      </x:c>
      <x:c r="AC65" s="39" t="str">
        <x:v>No</x:v>
      </x:c>
      <x:c r="AD65" s="46" t="n">
        <x:f>IF(C65="COMERCIAL",IF(AC65="Sí",40,0)+IF(D65="Recurrente",15,0)+IF(S65="Alto",25,IF(S65="Medio",12,0))+IF(R65&gt;=30000,20,IF(R65&gt;=10000,12,IF(R65&gt;=5000,6,0)))+IF(N65&lt;=Metadatos!$B$13+1,25,0)+IF(AB65="Sí",15,0)+IF(AA65="No responde",-10,0),IF(Y65="Incumplido",40,0)+IF(AND(W65="Sí",X65=Metadatos!$B$13),35,0)+IF(V65&gt;=20000,25,IF(V65&gt;=10000,18,IF(V65&gt;=5000,10,0)))+IF(U65&gt;=15,25,IF(U65&gt;=6,20,IF(U65&gt;=3,10,0)))+IF(Z65&gt;=3,20,IF(Z65&gt;=2,10,0))+IF(AA65="Respondió",-10,0)+IF(AND(Y65="Vigente",X65&gt;Metadatos!$B$13),-10,0))</x:f>
        <x:v>30</x:v>
      </x:c>
      <x:c r="AE65" s="39" t="str">
        <x:f>IF(AD65&gt;=70,"P1",IF(AD65&gt;=50,"P2",IF(AD65&gt;=30,"P3","P4")))</x:f>
        <x:v>P3</x:v>
      </x:c>
      <x:c r="AF65" s="39" t="str">
        <x:v>Varios intentos sin respuesta</x:v>
      </x:c>
      <x:c r="AG65" s="39" t="str">
        <x:v>Pendiente</x:v>
      </x:c>
      <x:c r="AH65" s="39" t="str">
        <x:v>https://www.google.com/maps?q=-5.206476,-80.602724</x:v>
      </x:c>
      <x:c r="AI65" s="39" t="str">
        <x:v>SINTÉTICO</x:v>
      </x:c>
    </x:row>
    <x:row r="66">
      <x:c r="A66" s="39" t="str">
        <x:v>CLI-065</x:v>
      </x:c>
      <x:c r="B66" s="39" t="str">
        <x:v>Cliente 065</x:v>
      </x:c>
      <x:c r="C66" s="39" t="str">
        <x:v>COMERCIAL</x:v>
      </x:c>
      <x:c r="D66" s="39" t="str">
        <x:v>Nuevo</x:v>
      </x:c>
      <x:c r="E66" s="39" t="str">
        <x:v>Capital de trabajo</x:v>
      </x:c>
      <x:c r="F66" s="39" t="str">
        <x:v>Negociación</x:v>
      </x:c>
      <x:c r="G66" s="40" t="n">
        <x:v>-5.180393</x:v>
      </x:c>
      <x:c r="H66" s="40" t="n">
        <x:v>-80.661401</x:v>
      </x:c>
      <x:c r="I66" s="39" t="str">
        <x:v>Piura</x:v>
      </x:c>
      <x:c r="J66" s="39" t="str">
        <x:v>Piura</x:v>
      </x:c>
      <x:c r="K66" s="39" t="str">
        <x:v>AG02</x:v>
      </x:c>
      <x:c r="L66" s="39" t="str">
        <x:v>Mibanco Sánchez Cerro</x:v>
      </x:c>
      <x:c r="M66" s="41" t="n">
        <x:v>3.56</x:v>
      </x:c>
      <x:c r="N66" s="42" t="n">
        <x:v>46292</x:v>
      </x:c>
      <x:c r="O66" s="43" t="n">
        <x:v>0.4583333333333333</x:v>
      </x:c>
      <x:c r="P66" s="43" t="n">
        <x:v>0.5</x:v>
      </x:c>
      <x:c r="Q66" s="39" t="n">
        <x:v>25</x:v>
      </x:c>
      <x:c r="R66" s="44" t="n">
        <x:v>36700</x:v>
      </x:c>
      <x:c r="S66" s="39" t="str">
        <x:v>Alto</x:v>
      </x:c>
      <x:c r="T66" s="45" t="n">
        <x:v>0.74</x:v>
      </x:c>
      <x:c r="U66" s="39" t="n">
        <x:v>0</x:v>
      </x:c>
      <x:c r="V66" s="44" t="n">
        <x:v>0</x:v>
      </x:c>
      <x:c r="W66" s="39" t="str">
        <x:v>No</x:v>
      </x:c>
      <x:c r="X66" s="42"/>
      <x:c r="Y66" s="39" t="str">
        <x:v>No aplica</x:v>
      </x:c>
      <x:c r="Z66" s="39" t="n">
        <x:v>0</x:v>
      </x:c>
      <x:c r="AA66" s="39" t="str">
        <x:v>No responde</x:v>
      </x:c>
      <x:c r="AB66" s="39" t="str">
        <x:v>No</x:v>
      </x:c>
      <x:c r="AC66" s="39" t="str">
        <x:v>No</x:v>
      </x:c>
      <x:c r="AD66" s="46" t="n">
        <x:f>IF(C66="COMERCIAL",IF(AC66="Sí",40,0)+IF(D66="Recurrente",15,0)+IF(S66="Alto",25,IF(S66="Medio",12,0))+IF(R66&gt;=30000,20,IF(R66&gt;=10000,12,IF(R66&gt;=5000,6,0)))+IF(N66&lt;=Metadatos!$B$13+1,25,0)+IF(AB66="Sí",15,0)+IF(AA66="No responde",-10,0),IF(Y66="Incumplido",40,0)+IF(AND(W66="Sí",X66=Metadatos!$B$13),35,0)+IF(V66&gt;=20000,25,IF(V66&gt;=10000,18,IF(V66&gt;=5000,10,0)))+IF(U66&gt;=15,25,IF(U66&gt;=6,20,IF(U66&gt;=3,10,0)))+IF(Z66&gt;=3,20,IF(Z66&gt;=2,10,0))+IF(AA66="Respondió",-10,0)+IF(AND(Y66="Vigente",X66&gt;Metadatos!$B$13),-10,0))</x:f>
        <x:v>60</x:v>
      </x:c>
      <x:c r="AE66" s="39" t="str">
        <x:f>IF(AD66&gt;=70,"P1",IF(AD66&gt;=50,"P2",IF(AD66&gt;=30,"P3","P4")))</x:f>
        <x:v>P2</x:v>
      </x:c>
      <x:c r="AF66" s="39" t="str">
        <x:v>Interés alto y monto comercial alto</x:v>
      </x:c>
      <x:c r="AG66" s="39" t="str">
        <x:v>Pendiente</x:v>
      </x:c>
      <x:c r="AH66" s="39" t="str">
        <x:v>https://www.google.com/maps?q=-5.180393,-80.661401</x:v>
      </x:c>
      <x:c r="AI66" s="39" t="str">
        <x:v>SINTÉTICO</x:v>
      </x:c>
    </x:row>
    <x:row r="67">
      <x:c r="A67" s="39" t="str">
        <x:v>CLI-066</x:v>
      </x:c>
      <x:c r="B67" s="39" t="str">
        <x:v>Cliente 066</x:v>
      </x:c>
      <x:c r="C67" s="39" t="str">
        <x:v>COBRANZA</x:v>
      </x:c>
      <x:c r="D67" s="39" t="str">
        <x:v>Deudor</x:v>
      </x:c>
      <x:c r="E67" s="39" t="str">
        <x:v>Cobranza de crédito</x:v>
      </x:c>
      <x:c r="F67" s="39" t="str">
        <x:v>Recuperación</x:v>
      </x:c>
      <x:c r="G67" s="40" t="n">
        <x:v>-5.173423</x:v>
      </x:c>
      <x:c r="H67" s="40" t="n">
        <x:v>-80.65814</x:v>
      </x:c>
      <x:c r="I67" s="39" t="str">
        <x:v>Piura</x:v>
      </x:c>
      <x:c r="J67" s="39" t="str">
        <x:v>Piura</x:v>
      </x:c>
      <x:c r="K67" s="39" t="str">
        <x:v>AG02</x:v>
      </x:c>
      <x:c r="L67" s="39" t="str">
        <x:v>Mibanco Sánchez Cerro</x:v>
      </x:c>
      <x:c r="M67" s="41" t="n">
        <x:v>3.58</x:v>
      </x:c>
      <x:c r="N67" s="42" t="n">
        <x:v>46292</x:v>
      </x:c>
      <x:c r="O67" s="43" t="n">
        <x:v>0.5</x:v>
      </x:c>
      <x:c r="P67" s="43" t="n">
        <x:v>0.5833333333333334</x:v>
      </x:c>
      <x:c r="Q67" s="39" t="n">
        <x:v>60</x:v>
      </x:c>
      <x:c r="R67" s="44" t="n">
        <x:v>0</x:v>
      </x:c>
      <x:c r="S67" s="39" t="str">
        <x:v>No aplica</x:v>
      </x:c>
      <x:c r="T67" s="45" t="n">
        <x:v>0</x:v>
      </x:c>
      <x:c r="U67" s="39" t="n">
        <x:v>1</x:v>
      </x:c>
      <x:c r="V67" s="44" t="n">
        <x:v>24900</x:v>
      </x:c>
      <x:c r="W67" s="39" t="str">
        <x:v>Sí</x:v>
      </x:c>
      <x:c r="X67" s="42" t="n">
        <x:v>46292</x:v>
      </x:c>
      <x:c r="Y67" s="39" t="str">
        <x:v>Vigente</x:v>
      </x:c>
      <x:c r="Z67" s="39" t="n">
        <x:v>2</x:v>
      </x:c>
      <x:c r="AA67" s="39" t="str">
        <x:v>Respondió</x:v>
      </x:c>
      <x:c r="AB67" s="39" t="str">
        <x:v>No</x:v>
      </x:c>
      <x:c r="AC67" s="39" t="str">
        <x:v>No</x:v>
      </x:c>
      <x:c r="AD67" s="46" t="n">
        <x:f>IF(C67="COMERCIAL",IF(AC67="Sí",40,0)+IF(D67="Recurrente",15,0)+IF(S67="Alto",25,IF(S67="Medio",12,0))+IF(R67&gt;=30000,20,IF(R67&gt;=10000,12,IF(R67&gt;=5000,6,0)))+IF(N67&lt;=Metadatos!$B$13+1,25,0)+IF(AB67="Sí",15,0)+IF(AA67="No responde",-10,0),IF(Y67="Incumplido",40,0)+IF(AND(W67="Sí",X67=Metadatos!$B$13),35,0)+IF(V67&gt;=20000,25,IF(V67&gt;=10000,18,IF(V67&gt;=5000,10,0)))+IF(U67&gt;=15,25,IF(U67&gt;=6,20,IF(U67&gt;=3,10,0)))+IF(Z67&gt;=3,20,IF(Z67&gt;=2,10,0))+IF(AA67="Respondió",-10,0)+IF(AND(Y67="Vigente",X67&gt;Metadatos!$B$13),-10,0))</x:f>
        <x:v>15</x:v>
      </x:c>
      <x:c r="AE67" s="39" t="str">
        <x:f>IF(AD67&gt;=70,"P1",IF(AD67&gt;=50,"P2",IF(AD67&gt;=30,"P3","P4")))</x:f>
        <x:v>P4</x:v>
      </x:c>
      <x:c r="AF67" s="39" t="str">
        <x:v>Mora reciente con seguimiento programable</x:v>
      </x:c>
      <x:c r="AG67" s="39" t="str">
        <x:v>Programada</x:v>
      </x:c>
      <x:c r="AH67" s="39" t="str">
        <x:v>https://www.google.com/maps?q=-5.173423,-80.658140</x:v>
      </x:c>
      <x:c r="AI67" s="39" t="str">
        <x:v>SINTÉTICO</x:v>
      </x:c>
    </x:row>
    <x:row r="68">
      <x:c r="A68" s="39" t="str">
        <x:v>CLI-067</x:v>
      </x:c>
      <x:c r="B68" s="39" t="str">
        <x:v>Cliente 067</x:v>
      </x:c>
      <x:c r="C68" s="39" t="str">
        <x:v>COMERCIAL</x:v>
      </x:c>
      <x:c r="D68" s="39" t="str">
        <x:v>Nuevo</x:v>
      </x:c>
      <x:c r="E68" s="39" t="str">
        <x:v>Ahorro</x:v>
      </x:c>
      <x:c r="F68" s="39" t="str">
        <x:v>Cierre</x:v>
      </x:c>
      <x:c r="G68" s="40" t="n">
        <x:v>-5.199929</x:v>
      </x:c>
      <x:c r="H68" s="40" t="n">
        <x:v>-80.608983</x:v>
      </x:c>
      <x:c r="I68" s="39" t="str">
        <x:v>Piura</x:v>
      </x:c>
      <x:c r="J68" s="39" t="str">
        <x:v>Piura</x:v>
      </x:c>
      <x:c r="K68" s="39" t="str">
        <x:v>AG02</x:v>
      </x:c>
      <x:c r="L68" s="39" t="str">
        <x:v>Mibanco Sánchez Cerro</x:v>
      </x:c>
      <x:c r="M68" s="41" t="n">
        <x:v>2.65</x:v>
      </x:c>
      <x:c r="N68" s="42" t="n">
        <x:v>46292</x:v>
      </x:c>
      <x:c r="O68" s="43" t="n">
        <x:v>0.5208333333333334</x:v>
      </x:c>
      <x:c r="P68" s="43" t="n">
        <x:v>0.5625</x:v>
      </x:c>
      <x:c r="Q68" s="39" t="n">
        <x:v>30</x:v>
      </x:c>
      <x:c r="R68" s="44" t="n">
        <x:v>10200</x:v>
      </x:c>
      <x:c r="S68" s="39" t="str">
        <x:v>Alto</x:v>
      </x:c>
      <x:c r="T68" s="45" t="n">
        <x:v>0.87</x:v>
      </x:c>
      <x:c r="U68" s="39" t="n">
        <x:v>0</x:v>
      </x:c>
      <x:c r="V68" s="44" t="n">
        <x:v>0</x:v>
      </x:c>
      <x:c r="W68" s="39" t="str">
        <x:v>No</x:v>
      </x:c>
      <x:c r="X68" s="42"/>
      <x:c r="Y68" s="39" t="str">
        <x:v>No aplica</x:v>
      </x:c>
      <x:c r="Z68" s="39" t="n">
        <x:v>0</x:v>
      </x:c>
      <x:c r="AA68" s="39" t="str">
        <x:v>Respondió</x:v>
      </x:c>
      <x:c r="AB68" s="39" t="str">
        <x:v>No</x:v>
      </x:c>
      <x:c r="AC68" s="39" t="str">
        <x:v>No</x:v>
      </x:c>
      <x:c r="AD68" s="46" t="n">
        <x:f>IF(C68="COMERCIAL",IF(AC68="Sí",40,0)+IF(D68="Recurrente",15,0)+IF(S68="Alto",25,IF(S68="Medio",12,0))+IF(R68&gt;=30000,20,IF(R68&gt;=10000,12,IF(R68&gt;=5000,6,0)))+IF(N68&lt;=Metadatos!$B$13+1,25,0)+IF(AB68="Sí",15,0)+IF(AA68="No responde",-10,0),IF(Y68="Incumplido",40,0)+IF(AND(W68="Sí",X68=Metadatos!$B$13),35,0)+IF(V68&gt;=20000,25,IF(V68&gt;=10000,18,IF(V68&gt;=5000,10,0)))+IF(U68&gt;=15,25,IF(U68&gt;=6,20,IF(U68&gt;=3,10,0)))+IF(Z68&gt;=3,20,IF(Z68&gt;=2,10,0))+IF(AA68="Respondió",-10,0)+IF(AND(Y68="Vigente",X68&gt;Metadatos!$B$13),-10,0))</x:f>
        <x:v>62</x:v>
      </x:c>
      <x:c r="AE68" s="39" t="str">
        <x:f>IF(AD68&gt;=70,"P1",IF(AD68&gt;=50,"P2",IF(AD68&gt;=30,"P3","P4")))</x:f>
        <x:v>P2</x:v>
      </x:c>
      <x:c r="AF68" s="39" t="str">
        <x:v>Prospecto sin urgencia inmediata</x:v>
      </x:c>
      <x:c r="AG68" s="39" t="str">
        <x:v>Programada</x:v>
      </x:c>
      <x:c r="AH68" s="39" t="str">
        <x:v>https://www.google.com/maps?q=-5.199929,-80.608983</x:v>
      </x:c>
      <x:c r="AI68" s="39" t="str">
        <x:v>SINTÉTICO</x:v>
      </x:c>
    </x:row>
    <x:row r="69">
      <x:c r="A69" s="39" t="str">
        <x:v>CLI-068</x:v>
      </x:c>
      <x:c r="B69" s="39" t="str">
        <x:v>Cliente 068</x:v>
      </x:c>
      <x:c r="C69" s="39" t="str">
        <x:v>COBRANZA</x:v>
      </x:c>
      <x:c r="D69" s="39" t="str">
        <x:v>Deudor</x:v>
      </x:c>
      <x:c r="E69" s="39" t="str">
        <x:v>Cobranza de crédito</x:v>
      </x:c>
      <x:c r="F69" s="39" t="str">
        <x:v>Recuperación</x:v>
      </x:c>
      <x:c r="G69" s="40" t="n">
        <x:v>-5.162053</x:v>
      </x:c>
      <x:c r="H69" s="40" t="n">
        <x:v>-80.643631</x:v>
      </x:c>
      <x:c r="I69" s="39" t="str">
        <x:v>Piura</x:v>
      </x:c>
      <x:c r="J69" s="39" t="str">
        <x:v>Piura</x:v>
      </x:c>
      <x:c r="K69" s="39" t="str">
        <x:v>AG02</x:v>
      </x:c>
      <x:c r="L69" s="39" t="str">
        <x:v>Mibanco Sánchez Cerro</x:v>
      </x:c>
      <x:c r="M69" s="41" t="n">
        <x:v>3.5</x:v>
      </x:c>
      <x:c r="N69" s="42" t="n">
        <x:v>46291</x:v>
      </x:c>
      <x:c r="O69" s="43" t="n">
        <x:v>0.6041666666666666</x:v>
      </x:c>
      <x:c r="P69" s="43" t="n">
        <x:v>0.6875</x:v>
      </x:c>
      <x:c r="Q69" s="39" t="n">
        <x:v>60</x:v>
      </x:c>
      <x:c r="R69" s="44" t="n">
        <x:v>0</x:v>
      </x:c>
      <x:c r="S69" s="39" t="str">
        <x:v>No aplica</x:v>
      </x:c>
      <x:c r="T69" s="45" t="n">
        <x:v>0</x:v>
      </x:c>
      <x:c r="U69" s="39" t="n">
        <x:v>15</x:v>
      </x:c>
      <x:c r="V69" s="44" t="n">
        <x:v>27400</x:v>
      </x:c>
      <x:c r="W69" s="39" t="str">
        <x:v>No</x:v>
      </x:c>
      <x:c r="X69" s="42"/>
      <x:c r="Y69" s="39" t="str">
        <x:v>Sin compromiso</x:v>
      </x:c>
      <x:c r="Z69" s="39" t="n">
        <x:v>1</x:v>
      </x:c>
      <x:c r="AA69" s="39" t="str">
        <x:v>Respondió</x:v>
      </x:c>
      <x:c r="AB69" s="39" t="str">
        <x:v>No</x:v>
      </x:c>
      <x:c r="AC69" s="39" t="str">
        <x:v>No</x:v>
      </x:c>
      <x:c r="AD69" s="46" t="n">
        <x:f>IF(C69="COMERCIAL",IF(AC69="Sí",40,0)+IF(D69="Recurrente",15,0)+IF(S69="Alto",25,IF(S69="Medio",12,0))+IF(R69&gt;=30000,20,IF(R69&gt;=10000,12,IF(R69&gt;=5000,6,0)))+IF(N69&lt;=Metadatos!$B$13+1,25,0)+IF(AB69="Sí",15,0)+IF(AA69="No responde",-10,0),IF(Y69="Incumplido",40,0)+IF(AND(W69="Sí",X69=Metadatos!$B$13),35,0)+IF(V69&gt;=20000,25,IF(V69&gt;=10000,18,IF(V69&gt;=5000,10,0)))+IF(U69&gt;=15,25,IF(U69&gt;=6,20,IF(U69&gt;=3,10,0)))+IF(Z69&gt;=3,20,IF(Z69&gt;=2,10,0))+IF(AA69="Respondió",-10,0)+IF(AND(Y69="Vigente",X69&gt;Metadatos!$B$13),-10,0))</x:f>
        <x:v>40</x:v>
      </x:c>
      <x:c r="AE69" s="39" t="str">
        <x:f>IF(AD69&gt;=70,"P1",IF(AD69&gt;=50,"P2",IF(AD69&gt;=30,"P3","P4")))</x:f>
        <x:v>P3</x:v>
      </x:c>
      <x:c r="AF69" s="39" t="str">
        <x:v>Mora elevada y saldo alto</x:v>
      </x:c>
      <x:c r="AG69" s="39" t="str">
        <x:v>Pendiente</x:v>
      </x:c>
      <x:c r="AH69" s="39" t="str">
        <x:v>https://www.google.com/maps?q=-5.162053,-80.643631</x:v>
      </x:c>
      <x:c r="AI69" s="39" t="str">
        <x:v>SINTÉTICO</x:v>
      </x:c>
    </x:row>
    <x:row r="70">
      <x:c r="A70" s="39" t="str">
        <x:v>CLI-069</x:v>
      </x:c>
      <x:c r="B70" s="39" t="str">
        <x:v>Cliente 069</x:v>
      </x:c>
      <x:c r="C70" s="39" t="str">
        <x:v>COMERCIAL</x:v>
      </x:c>
      <x:c r="D70" s="39" t="str">
        <x:v>Nuevo</x:v>
      </x:c>
      <x:c r="E70" s="39" t="str">
        <x:v>Capital de trabajo</x:v>
      </x:c>
      <x:c r="F70" s="39" t="str">
        <x:v>Cierre</x:v>
      </x:c>
      <x:c r="G70" s="40" t="n">
        <x:v>-5.202935</x:v>
      </x:c>
      <x:c r="H70" s="40" t="n">
        <x:v>-80.653556</x:v>
      </x:c>
      <x:c r="I70" s="39" t="str">
        <x:v>Piura</x:v>
      </x:c>
      <x:c r="J70" s="39" t="str">
        <x:v>Piura</x:v>
      </x:c>
      <x:c r="K70" s="39" t="str">
        <x:v>AG02</x:v>
      </x:c>
      <x:c r="L70" s="39" t="str">
        <x:v>Mibanco Sánchez Cerro</x:v>
      </x:c>
      <x:c r="M70" s="41" t="n">
        <x:v>2.83</x:v>
      </x:c>
      <x:c r="N70" s="42" t="n">
        <x:v>46291</x:v>
      </x:c>
      <x:c r="O70" s="43" t="n">
        <x:v>0.3541666666666667</x:v>
      </x:c>
      <x:c r="P70" s="43" t="n">
        <x:v>0.3958333333333333</x:v>
      </x:c>
      <x:c r="Q70" s="39" t="n">
        <x:v>30</x:v>
      </x:c>
      <x:c r="R70" s="44" t="n">
        <x:v>47300</x:v>
      </x:c>
      <x:c r="S70" s="39" t="str">
        <x:v>Alto</x:v>
      </x:c>
      <x:c r="T70" s="45" t="n">
        <x:v>0.67</x:v>
      </x:c>
      <x:c r="U70" s="39" t="n">
        <x:v>0</x:v>
      </x:c>
      <x:c r="V70" s="44" t="n">
        <x:v>0</x:v>
      </x:c>
      <x:c r="W70" s="39" t="str">
        <x:v>No</x:v>
      </x:c>
      <x:c r="X70" s="42"/>
      <x:c r="Y70" s="39" t="str">
        <x:v>No aplica</x:v>
      </x:c>
      <x:c r="Z70" s="39" t="n">
        <x:v>0</x:v>
      </x:c>
      <x:c r="AA70" s="39" t="str">
        <x:v>Respondió</x:v>
      </x:c>
      <x:c r="AB70" s="39" t="str">
        <x:v>No</x:v>
      </x:c>
      <x:c r="AC70" s="39" t="str">
        <x:v>Sí</x:v>
      </x:c>
      <x:c r="AD70" s="46" t="n">
        <x:f>IF(C70="COMERCIAL",IF(AC70="Sí",40,0)+IF(D70="Recurrente",15,0)+IF(S70="Alto",25,IF(S70="Medio",12,0))+IF(R70&gt;=30000,20,IF(R70&gt;=10000,12,IF(R70&gt;=5000,6,0)))+IF(N70&lt;=Metadatos!$B$13+1,25,0)+IF(AB70="Sí",15,0)+IF(AA70="No responde",-10,0),IF(Y70="Incumplido",40,0)+IF(AND(W70="Sí",X70=Metadatos!$B$13),35,0)+IF(V70&gt;=20000,25,IF(V70&gt;=10000,18,IF(V70&gt;=5000,10,0)))+IF(U70&gt;=15,25,IF(U70&gt;=6,20,IF(U70&gt;=3,10,0)))+IF(Z70&gt;=3,20,IF(Z70&gt;=2,10,0))+IF(AA70="Respondió",-10,0)+IF(AND(Y70="Vigente",X70&gt;Metadatos!$B$13),-10,0))</x:f>
        <x:v>110</x:v>
      </x:c>
      <x:c r="AE70" s="39" t="str">
        <x:f>IF(AD70&gt;=70,"P1",IF(AD70&gt;=50,"P2",IF(AD70&gt;=30,"P3","P4")))</x:f>
        <x:v>P1</x:v>
      </x:c>
      <x:c r="AF70" s="39" t="str">
        <x:v>Operación comercial prevista hoy</x:v>
      </x:c>
      <x:c r="AG70" s="39" t="str">
        <x:v>Pendiente</x:v>
      </x:c>
      <x:c r="AH70" s="39" t="str">
        <x:v>https://www.google.com/maps?q=-5.202935,-80.653556</x:v>
      </x:c>
      <x:c r="AI70" s="39" t="str">
        <x:v>SINTÉTICO</x:v>
      </x:c>
    </x:row>
    <x:row r="71">
      <x:c r="A71" s="39" t="str">
        <x:v>CLI-070</x:v>
      </x:c>
      <x:c r="B71" s="39" t="str">
        <x:v>Cliente 070</x:v>
      </x:c>
      <x:c r="C71" s="39" t="str">
        <x:v>COBRANZA</x:v>
      </x:c>
      <x:c r="D71" s="39" t="str">
        <x:v>Deudor</x:v>
      </x:c>
      <x:c r="E71" s="39" t="str">
        <x:v>Cobranza de crédito</x:v>
      </x:c>
      <x:c r="F71" s="39" t="str">
        <x:v>Recuperación</x:v>
      </x:c>
      <x:c r="G71" s="40" t="n">
        <x:v>-5.190984</x:v>
      </x:c>
      <x:c r="H71" s="40" t="n">
        <x:v>-80.602475</x:v>
      </x:c>
      <x:c r="I71" s="39" t="str">
        <x:v>Piura</x:v>
      </x:c>
      <x:c r="J71" s="39" t="str">
        <x:v>Piura</x:v>
      </x:c>
      <x:c r="K71" s="39" t="str">
        <x:v>AG02</x:v>
      </x:c>
      <x:c r="L71" s="39" t="str">
        <x:v>Mibanco Sánchez Cerro</x:v>
      </x:c>
      <x:c r="M71" s="41" t="n">
        <x:v>3.17</x:v>
      </x:c>
      <x:c r="N71" s="42" t="n">
        <x:v>46291</x:v>
      </x:c>
      <x:c r="O71" s="43" t="n">
        <x:v>0.5416666666666666</x:v>
      </x:c>
      <x:c r="P71" s="43" t="n">
        <x:v>0.5833333333333334</x:v>
      </x:c>
      <x:c r="Q71" s="39" t="n">
        <x:v>40</x:v>
      </x:c>
      <x:c r="R71" s="44" t="n">
        <x:v>0</x:v>
      </x:c>
      <x:c r="S71" s="39" t="str">
        <x:v>No aplica</x:v>
      </x:c>
      <x:c r="T71" s="45" t="n">
        <x:v>0</x:v>
      </x:c>
      <x:c r="U71" s="39" t="n">
        <x:v>22</x:v>
      </x:c>
      <x:c r="V71" s="44" t="n">
        <x:v>4100</x:v>
      </x:c>
      <x:c r="W71" s="39" t="str">
        <x:v>Sí</x:v>
      </x:c>
      <x:c r="X71" s="42" t="n">
        <x:v>46288</x:v>
      </x:c>
      <x:c r="Y71" s="39" t="str">
        <x:v>Incumplido</x:v>
      </x:c>
      <x:c r="Z71" s="39" t="n">
        <x:v>1</x:v>
      </x:c>
      <x:c r="AA71" s="39" t="str">
        <x:v>No responde</x:v>
      </x:c>
      <x:c r="AB71" s="39" t="str">
        <x:v>No</x:v>
      </x:c>
      <x:c r="AC71" s="39" t="str">
        <x:v>No</x:v>
      </x:c>
      <x:c r="AD71" s="46" t="n">
        <x:f>IF(C71="COMERCIAL",IF(AC71="Sí",40,0)+IF(D71="Recurrente",15,0)+IF(S71="Alto",25,IF(S71="Medio",12,0))+IF(R71&gt;=30000,20,IF(R71&gt;=10000,12,IF(R71&gt;=5000,6,0)))+IF(N71&lt;=Metadatos!$B$13+1,25,0)+IF(AB71="Sí",15,0)+IF(AA71="No responde",-10,0),IF(Y71="Incumplido",40,0)+IF(AND(W71="Sí",X71=Metadatos!$B$13),35,0)+IF(V71&gt;=20000,25,IF(V71&gt;=10000,18,IF(V71&gt;=5000,10,0)))+IF(U71&gt;=15,25,IF(U71&gt;=6,20,IF(U71&gt;=3,10,0)))+IF(Z71&gt;=3,20,IF(Z71&gt;=2,10,0))+IF(AA71="Respondió",-10,0)+IF(AND(Y71="Vigente",X71&gt;Metadatos!$B$13),-10,0))</x:f>
        <x:v>65</x:v>
      </x:c>
      <x:c r="AE71" s="39" t="str">
        <x:f>IF(AD71&gt;=70,"P1",IF(AD71&gt;=50,"P2",IF(AD71&gt;=30,"P3","P4")))</x:f>
        <x:v>P2</x:v>
      </x:c>
      <x:c r="AF71" s="39" t="str">
        <x:v>Compromiso incumplido y cliente sin respuesta</x:v>
      </x:c>
      <x:c r="AG71" s="39" t="str">
        <x:v>Pendiente</x:v>
      </x:c>
      <x:c r="AH71" s="39" t="str">
        <x:v>https://www.google.com/maps?q=-5.190984,-80.602475</x:v>
      </x:c>
      <x:c r="AI71" s="39" t="str">
        <x:v>SINTÉTICO</x:v>
      </x:c>
    </x:row>
    <x:row r="72">
      <x:c r="A72" s="39" t="str">
        <x:v>CLI-071</x:v>
      </x:c>
      <x:c r="B72" s="39" t="str">
        <x:v>Cliente 071</x:v>
      </x:c>
      <x:c r="C72" s="39" t="str">
        <x:v>COMERCIAL</x:v>
      </x:c>
      <x:c r="D72" s="39" t="str">
        <x:v>Recurrente</x:v>
      </x:c>
      <x:c r="E72" s="39" t="str">
        <x:v>Seguro</x:v>
      </x:c>
      <x:c r="F72" s="39" t="str">
        <x:v>Prospecto</x:v>
      </x:c>
      <x:c r="G72" s="40" t="n">
        <x:v>-5.217331</x:v>
      </x:c>
      <x:c r="H72" s="40" t="n">
        <x:v>-80.653823</x:v>
      </x:c>
      <x:c r="I72" s="39" t="str">
        <x:v>Piura</x:v>
      </x:c>
      <x:c r="J72" s="39" t="str">
        <x:v>Piura</x:v>
      </x:c>
      <x:c r="K72" s="39" t="str">
        <x:v>AG02</x:v>
      </x:c>
      <x:c r="L72" s="39" t="str">
        <x:v>Mibanco Sánchez Cerro</x:v>
      </x:c>
      <x:c r="M72" s="41" t="n">
        <x:v>3.87</x:v>
      </x:c>
      <x:c r="N72" s="42" t="n">
        <x:v>46294</x:v>
      </x:c>
      <x:c r="O72" s="43" t="n">
        <x:v>0.5833333333333334</x:v>
      </x:c>
      <x:c r="P72" s="43" t="n">
        <x:v>0.6666666666666666</x:v>
      </x:c>
      <x:c r="Q72" s="39" t="n">
        <x:v>35</x:v>
      </x:c>
      <x:c r="R72" s="44" t="n">
        <x:v>40300</x:v>
      </x:c>
      <x:c r="S72" s="39" t="str">
        <x:v>Bajo</x:v>
      </x:c>
      <x:c r="T72" s="45" t="n">
        <x:v>0.34</x:v>
      </x:c>
      <x:c r="U72" s="39" t="n">
        <x:v>0</x:v>
      </x:c>
      <x:c r="V72" s="44" t="n">
        <x:v>0</x:v>
      </x:c>
      <x:c r="W72" s="39" t="str">
        <x:v>No</x:v>
      </x:c>
      <x:c r="X72" s="42"/>
      <x:c r="Y72" s="39" t="str">
        <x:v>No aplica</x:v>
      </x:c>
      <x:c r="Z72" s="39" t="n">
        <x:v>0</x:v>
      </x:c>
      <x:c r="AA72" s="39" t="str">
        <x:v>No responde</x:v>
      </x:c>
      <x:c r="AB72" s="39" t="str">
        <x:v>No</x:v>
      </x:c>
      <x:c r="AC72" s="39" t="str">
        <x:v>No</x:v>
      </x:c>
      <x:c r="AD72" s="46" t="n">
        <x:f>IF(C72="COMERCIAL",IF(AC72="Sí",40,0)+IF(D72="Recurrente",15,0)+IF(S72="Alto",25,IF(S72="Medio",12,0))+IF(R72&gt;=30000,20,IF(R72&gt;=10000,12,IF(R72&gt;=5000,6,0)))+IF(N72&lt;=Metadatos!$B$13+1,25,0)+IF(AB72="Sí",15,0)+IF(AA72="No responde",-10,0),IF(Y72="Incumplido",40,0)+IF(AND(W72="Sí",X72=Metadatos!$B$13),35,0)+IF(V72&gt;=20000,25,IF(V72&gt;=10000,18,IF(V72&gt;=5000,10,0)))+IF(U72&gt;=15,25,IF(U72&gt;=6,20,IF(U72&gt;=3,10,0)))+IF(Z72&gt;=3,20,IF(Z72&gt;=2,10,0))+IF(AA72="Respondió",-10,0)+IF(AND(Y72="Vigente",X72&gt;Metadatos!$B$13),-10,0))</x:f>
        <x:v>25</x:v>
      </x:c>
      <x:c r="AE72" s="39" t="str">
        <x:f>IF(AD72&gt;=70,"P1",IF(AD72&gt;=50,"P2",IF(AD72&gt;=30,"P3","P4")))</x:f>
        <x:v>P4</x:v>
      </x:c>
      <x:c r="AF72" s="39" t="str">
        <x:v>Prospecto sin urgencia inmediata</x:v>
      </x:c>
      <x:c r="AG72" s="39" t="str">
        <x:v>Pendiente</x:v>
      </x:c>
      <x:c r="AH72" s="39" t="str">
        <x:v>https://www.google.com/maps?q=-5.217331,-80.653823</x:v>
      </x:c>
      <x:c r="AI72" s="39" t="str">
        <x:v>SINTÉTICO</x:v>
      </x:c>
    </x:row>
    <x:row r="73">
      <x:c r="A73" s="39" t="str">
        <x:v>CLI-072</x:v>
      </x:c>
      <x:c r="B73" s="39" t="str">
        <x:v>Cliente 072</x:v>
      </x:c>
      <x:c r="C73" s="39" t="str">
        <x:v>COBRANZA</x:v>
      </x:c>
      <x:c r="D73" s="39" t="str">
        <x:v>Deudor</x:v>
      </x:c>
      <x:c r="E73" s="39" t="str">
        <x:v>Cobranza de crédito</x:v>
      </x:c>
      <x:c r="F73" s="39" t="str">
        <x:v>Recuperación</x:v>
      </x:c>
      <x:c r="G73" s="40" t="n">
        <x:v>-5.160683</x:v>
      </x:c>
      <x:c r="H73" s="40" t="n">
        <x:v>-80.628278</x:v>
      </x:c>
      <x:c r="I73" s="39" t="str">
        <x:v>Piura</x:v>
      </x:c>
      <x:c r="J73" s="39" t="str">
        <x:v>Piura</x:v>
      </x:c>
      <x:c r="K73" s="39" t="str">
        <x:v>AG02</x:v>
      </x:c>
      <x:c r="L73" s="39" t="str">
        <x:v>Mibanco Sánchez Cerro</x:v>
      </x:c>
      <x:c r="M73" s="41" t="n">
        <x:v>3.38</x:v>
      </x:c>
      <x:c r="N73" s="42" t="n">
        <x:v>46291</x:v>
      </x:c>
      <x:c r="O73" s="43" t="n">
        <x:v>0.4375</x:v>
      </x:c>
      <x:c r="P73" s="43" t="n">
        <x:v>0.5</x:v>
      </x:c>
      <x:c r="Q73" s="39" t="n">
        <x:v>25</x:v>
      </x:c>
      <x:c r="R73" s="44" t="n">
        <x:v>0</x:v>
      </x:c>
      <x:c r="S73" s="39" t="str">
        <x:v>No aplica</x:v>
      </x:c>
      <x:c r="T73" s="45" t="n">
        <x:v>0</x:v>
      </x:c>
      <x:c r="U73" s="39" t="n">
        <x:v>3</x:v>
      </x:c>
      <x:c r="V73" s="44" t="n">
        <x:v>29600</x:v>
      </x:c>
      <x:c r="W73" s="39" t="str">
        <x:v>No</x:v>
      </x:c>
      <x:c r="X73" s="42"/>
      <x:c r="Y73" s="39" t="str">
        <x:v>Sin compromiso</x:v>
      </x:c>
      <x:c r="Z73" s="39" t="n">
        <x:v>4</x:v>
      </x:c>
      <x:c r="AA73" s="39" t="str">
        <x:v>No responde</x:v>
      </x:c>
      <x:c r="AB73" s="39" t="str">
        <x:v>No</x:v>
      </x:c>
      <x:c r="AC73" s="39" t="str">
        <x:v>No</x:v>
      </x:c>
      <x:c r="AD73" s="46" t="n">
        <x:f>IF(C73="COMERCIAL",IF(AC73="Sí",40,0)+IF(D73="Recurrente",15,0)+IF(S73="Alto",25,IF(S73="Medio",12,0))+IF(R73&gt;=30000,20,IF(R73&gt;=10000,12,IF(R73&gt;=5000,6,0)))+IF(N73&lt;=Metadatos!$B$13+1,25,0)+IF(AB73="Sí",15,0)+IF(AA73="No responde",-10,0),IF(Y73="Incumplido",40,0)+IF(AND(W73="Sí",X73=Metadatos!$B$13),35,0)+IF(V73&gt;=20000,25,IF(V73&gt;=10000,18,IF(V73&gt;=5000,10,0)))+IF(U73&gt;=15,25,IF(U73&gt;=6,20,IF(U73&gt;=3,10,0)))+IF(Z73&gt;=3,20,IF(Z73&gt;=2,10,0))+IF(AA73="Respondió",-10,0)+IF(AND(Y73="Vigente",X73&gt;Metadatos!$B$13),-10,0))</x:f>
        <x:v>55</x:v>
      </x:c>
      <x:c r="AE73" s="39" t="str">
        <x:f>IF(AD73&gt;=70,"P1",IF(AD73&gt;=50,"P2",IF(AD73&gt;=30,"P3","P4")))</x:f>
        <x:v>P2</x:v>
      </x:c>
      <x:c r="AF73" s="39" t="str">
        <x:v>Varios intentos sin respuesta</x:v>
      </x:c>
      <x:c r="AG73" s="39" t="str">
        <x:v>Pendiente</x:v>
      </x:c>
      <x:c r="AH73" s="39" t="str">
        <x:v>https://www.google.com/maps?q=-5.160683,-80.628278</x:v>
      </x:c>
      <x:c r="AI73" s="39" t="str">
        <x:v>SINTÉTICO</x:v>
      </x:c>
    </x:row>
    <x:row r="74">
      <x:c r="A74" s="39" t="str">
        <x:v>CLI-073</x:v>
      </x:c>
      <x:c r="B74" s="39" t="str">
        <x:v>Cliente 073</x:v>
      </x:c>
      <x:c r="C74" s="39" t="str">
        <x:v>COMERCIAL</x:v>
      </x:c>
      <x:c r="D74" s="39" t="str">
        <x:v>Nuevo</x:v>
      </x:c>
      <x:c r="E74" s="39" t="str">
        <x:v>Capital de trabajo</x:v>
      </x:c>
      <x:c r="F74" s="39" t="str">
        <x:v>Contactado</x:v>
      </x:c>
      <x:c r="G74" s="40" t="n">
        <x:v>-5.171557</x:v>
      </x:c>
      <x:c r="H74" s="40" t="n">
        <x:v>-80.622358</x:v>
      </x:c>
      <x:c r="I74" s="39" t="str">
        <x:v>Piura</x:v>
      </x:c>
      <x:c r="J74" s="39" t="str">
        <x:v>Piura</x:v>
      </x:c>
      <x:c r="K74" s="39" t="str">
        <x:v>AG02</x:v>
      </x:c>
      <x:c r="L74" s="39" t="str">
        <x:v>Mibanco Sánchez Cerro</x:v>
      </x:c>
      <x:c r="M74" s="41" t="n">
        <x:v>2.36</x:v>
      </x:c>
      <x:c r="N74" s="42" t="n">
        <x:v>46293</x:v>
      </x:c>
      <x:c r="O74" s="43" t="n">
        <x:v>0.4166666666666667</x:v>
      </x:c>
      <x:c r="P74" s="43" t="n">
        <x:v>0.4583333333333333</x:v>
      </x:c>
      <x:c r="Q74" s="39" t="n">
        <x:v>50</x:v>
      </x:c>
      <x:c r="R74" s="44" t="n">
        <x:v>34000</x:v>
      </x:c>
      <x:c r="S74" s="39" t="str">
        <x:v>Medio</x:v>
      </x:c>
      <x:c r="T74" s="45" t="n">
        <x:v>0.62</x:v>
      </x:c>
      <x:c r="U74" s="39" t="n">
        <x:v>0</x:v>
      </x:c>
      <x:c r="V74" s="44" t="n">
        <x:v>0</x:v>
      </x:c>
      <x:c r="W74" s="39" t="str">
        <x:v>No</x:v>
      </x:c>
      <x:c r="X74" s="42"/>
      <x:c r="Y74" s="39" t="str">
        <x:v>No aplica</x:v>
      </x:c>
      <x:c r="Z74" s="39" t="n">
        <x:v>0</x:v>
      </x:c>
      <x:c r="AA74" s="39" t="str">
        <x:v>Respondió</x:v>
      </x:c>
      <x:c r="AB74" s="39" t="str">
        <x:v>Sí</x:v>
      </x:c>
      <x:c r="AC74" s="39" t="str">
        <x:v>No</x:v>
      </x:c>
      <x:c r="AD74" s="46" t="n">
        <x:f>IF(C74="COMERCIAL",IF(AC74="Sí",40,0)+IF(D74="Recurrente",15,0)+IF(S74="Alto",25,IF(S74="Medio",12,0))+IF(R74&gt;=30000,20,IF(R74&gt;=10000,12,IF(R74&gt;=5000,6,0)))+IF(N74&lt;=Metadatos!$B$13+1,25,0)+IF(AB74="Sí",15,0)+IF(AA74="No responde",-10,0),IF(Y74="Incumplido",40,0)+IF(AND(W74="Sí",X74=Metadatos!$B$13),35,0)+IF(V74&gt;=20000,25,IF(V74&gt;=10000,18,IF(V74&gt;=5000,10,0)))+IF(U74&gt;=15,25,IF(U74&gt;=6,20,IF(U74&gt;=3,10,0)))+IF(Z74&gt;=3,20,IF(Z74&gt;=2,10,0))+IF(AA74="Respondió",-10,0)+IF(AND(Y74="Vigente",X74&gt;Metadatos!$B$13),-10,0))</x:f>
        <x:v>47</x:v>
      </x:c>
      <x:c r="AE74" s="39" t="str">
        <x:f>IF(AD74&gt;=70,"P1",IF(AD74&gt;=50,"P2",IF(AD74&gt;=30,"P3","P4")))</x:f>
        <x:v>P3</x:v>
      </x:c>
      <x:c r="AF74" s="39" t="str">
        <x:v>Interés medio; requiere seguimiento</x:v>
      </x:c>
      <x:c r="AG74" s="39" t="str">
        <x:v>Pendiente</x:v>
      </x:c>
      <x:c r="AH74" s="39" t="str">
        <x:v>https://www.google.com/maps?q=-5.171557,-80.622358</x:v>
      </x:c>
      <x:c r="AI74" s="39" t="str">
        <x:v>SINTÉTICO</x:v>
      </x:c>
    </x:row>
    <x:row r="75">
      <x:c r="A75" s="39" t="str">
        <x:v>CLI-074</x:v>
      </x:c>
      <x:c r="B75" s="39" t="str">
        <x:v>Cliente 074</x:v>
      </x:c>
      <x:c r="C75" s="39" t="str">
        <x:v>COBRANZA</x:v>
      </x:c>
      <x:c r="D75" s="39" t="str">
        <x:v>Deudor</x:v>
      </x:c>
      <x:c r="E75" s="39" t="str">
        <x:v>Cobranza de crédito</x:v>
      </x:c>
      <x:c r="F75" s="39" t="str">
        <x:v>Recuperación</x:v>
      </x:c>
      <x:c r="G75" s="40" t="n">
        <x:v>-5.210171</x:v>
      </x:c>
      <x:c r="H75" s="40" t="n">
        <x:v>-80.644255</x:v>
      </x:c>
      <x:c r="I75" s="39" t="str">
        <x:v>Piura</x:v>
      </x:c>
      <x:c r="J75" s="39" t="str">
        <x:v>Piura</x:v>
      </x:c>
      <x:c r="K75" s="39" t="str">
        <x:v>AG02</x:v>
      </x:c>
      <x:c r="L75" s="39" t="str">
        <x:v>Mibanco Sánchez Cerro</x:v>
      </x:c>
      <x:c r="M75" s="41" t="n">
        <x:v>2.59</x:v>
      </x:c>
      <x:c r="N75" s="42" t="n">
        <x:v>46292</x:v>
      </x:c>
      <x:c r="O75" s="43" t="n">
        <x:v>0.3333333333333333</x:v>
      </x:c>
      <x:c r="P75" s="43" t="n">
        <x:v>0.4166666666666667</x:v>
      </x:c>
      <x:c r="Q75" s="39" t="n">
        <x:v>25</x:v>
      </x:c>
      <x:c r="R75" s="44" t="n">
        <x:v>0</x:v>
      </x:c>
      <x:c r="S75" s="39" t="str">
        <x:v>No aplica</x:v>
      </x:c>
      <x:c r="T75" s="45" t="n">
        <x:v>0</x:v>
      </x:c>
      <x:c r="U75" s="39" t="n">
        <x:v>7</x:v>
      </x:c>
      <x:c r="V75" s="44" t="n">
        <x:v>32000</x:v>
      </x:c>
      <x:c r="W75" s="39" t="str">
        <x:v>Sí</x:v>
      </x:c>
      <x:c r="X75" s="42" t="n">
        <x:v>46290</x:v>
      </x:c>
      <x:c r="Y75" s="39" t="str">
        <x:v>Cumplido</x:v>
      </x:c>
      <x:c r="Z75" s="39" t="n">
        <x:v>2</x:v>
      </x:c>
      <x:c r="AA75" s="39" t="str">
        <x:v>No responde</x:v>
      </x:c>
      <x:c r="AB75" s="39" t="str">
        <x:v>No</x:v>
      </x:c>
      <x:c r="AC75" s="39" t="str">
        <x:v>No</x:v>
      </x:c>
      <x:c r="AD75" s="46" t="n">
        <x:f>IF(C75="COMERCIAL",IF(AC75="Sí",40,0)+IF(D75="Recurrente",15,0)+IF(S75="Alto",25,IF(S75="Medio",12,0))+IF(R75&gt;=30000,20,IF(R75&gt;=10000,12,IF(R75&gt;=5000,6,0)))+IF(N75&lt;=Metadatos!$B$13+1,25,0)+IF(AB75="Sí",15,0)+IF(AA75="No responde",-10,0),IF(Y75="Incumplido",40,0)+IF(AND(W75="Sí",X75=Metadatos!$B$13),35,0)+IF(V75&gt;=20000,25,IF(V75&gt;=10000,18,IF(V75&gt;=5000,10,0)))+IF(U75&gt;=15,25,IF(U75&gt;=6,20,IF(U75&gt;=3,10,0)))+IF(Z75&gt;=3,20,IF(Z75&gt;=2,10,0))+IF(AA75="Respondió",-10,0)+IF(AND(Y75="Vigente",X75&gt;Metadatos!$B$13),-10,0))</x:f>
        <x:v>55</x:v>
      </x:c>
      <x:c r="AE75" s="39" t="str">
        <x:f>IF(AD75&gt;=70,"P1",IF(AD75&gt;=50,"P2",IF(AD75&gt;=30,"P3","P4")))</x:f>
        <x:v>P2</x:v>
      </x:c>
      <x:c r="AF75" s="39" t="str">
        <x:v>Seguimiento por días de mora</x:v>
      </x:c>
      <x:c r="AG75" s="39" t="str">
        <x:v>Pendiente</x:v>
      </x:c>
      <x:c r="AH75" s="39" t="str">
        <x:v>https://www.google.com/maps?q=-5.210171,-80.644255</x:v>
      </x:c>
      <x:c r="AI75" s="39" t="str">
        <x:v>SINTÉTICO</x:v>
      </x:c>
    </x:row>
    <x:row r="76">
      <x:c r="A76" s="39" t="str">
        <x:v>CLI-075</x:v>
      </x:c>
      <x:c r="B76" s="39" t="str">
        <x:v>Cliente 075</x:v>
      </x:c>
      <x:c r="C76" s="39" t="str">
        <x:v>COMERCIAL</x:v>
      </x:c>
      <x:c r="D76" s="39" t="str">
        <x:v>Recurrente</x:v>
      </x:c>
      <x:c r="E76" s="39" t="str">
        <x:v>Ahorro</x:v>
      </x:c>
      <x:c r="F76" s="39" t="str">
        <x:v>Negociación</x:v>
      </x:c>
      <x:c r="G76" s="40" t="n">
        <x:v>-5.196248</x:v>
      </x:c>
      <x:c r="H76" s="40" t="n">
        <x:v>-80.655053</x:v>
      </x:c>
      <x:c r="I76" s="39" t="str">
        <x:v>Piura</x:v>
      </x:c>
      <x:c r="J76" s="39" t="str">
        <x:v>Piura</x:v>
      </x:c>
      <x:c r="K76" s="39" t="str">
        <x:v>AG02</x:v>
      </x:c>
      <x:c r="L76" s="39" t="str">
        <x:v>Mibanco Sánchez Cerro</x:v>
      </x:c>
      <x:c r="M76" s="41" t="n">
        <x:v>2.72</x:v>
      </x:c>
      <x:c r="N76" s="42" t="n">
        <x:v>46294</x:v>
      </x:c>
      <x:c r="O76" s="43" t="n">
        <x:v>0.5208333333333334</x:v>
      </x:c>
      <x:c r="P76" s="43" t="n">
        <x:v>0.5625</x:v>
      </x:c>
      <x:c r="Q76" s="39" t="n">
        <x:v>30</x:v>
      </x:c>
      <x:c r="R76" s="44" t="n">
        <x:v>22400</x:v>
      </x:c>
      <x:c r="S76" s="39" t="str">
        <x:v>Medio</x:v>
      </x:c>
      <x:c r="T76" s="45" t="n">
        <x:v>0.45</x:v>
      </x:c>
      <x:c r="U76" s="39" t="n">
        <x:v>0</x:v>
      </x:c>
      <x:c r="V76" s="44" t="n">
        <x:v>0</x:v>
      </x:c>
      <x:c r="W76" s="39" t="str">
        <x:v>No</x:v>
      </x:c>
      <x:c r="X76" s="42"/>
      <x:c r="Y76" s="39" t="str">
        <x:v>No aplica</x:v>
      </x:c>
      <x:c r="Z76" s="39" t="n">
        <x:v>0</x:v>
      </x:c>
      <x:c r="AA76" s="39" t="str">
        <x:v>Respondió</x:v>
      </x:c>
      <x:c r="AB76" s="39" t="str">
        <x:v>No</x:v>
      </x:c>
      <x:c r="AC76" s="39" t="str">
        <x:v>No</x:v>
      </x:c>
      <x:c r="AD76" s="46" t="n">
        <x:f>IF(C76="COMERCIAL",IF(AC76="Sí",40,0)+IF(D76="Recurrente",15,0)+IF(S76="Alto",25,IF(S76="Medio",12,0))+IF(R76&gt;=30000,20,IF(R76&gt;=10000,12,IF(R76&gt;=5000,6,0)))+IF(N76&lt;=Metadatos!$B$13+1,25,0)+IF(AB76="Sí",15,0)+IF(AA76="No responde",-10,0),IF(Y76="Incumplido",40,0)+IF(AND(W76="Sí",X76=Metadatos!$B$13),35,0)+IF(V76&gt;=20000,25,IF(V76&gt;=10000,18,IF(V76&gt;=5000,10,0)))+IF(U76&gt;=15,25,IF(U76&gt;=6,20,IF(U76&gt;=3,10,0)))+IF(Z76&gt;=3,20,IF(Z76&gt;=2,10,0))+IF(AA76="Respondió",-10,0)+IF(AND(Y76="Vigente",X76&gt;Metadatos!$B$13),-10,0))</x:f>
        <x:v>39</x:v>
      </x:c>
      <x:c r="AE76" s="39" t="str">
        <x:f>IF(AD76&gt;=70,"P1",IF(AD76&gt;=50,"P2",IF(AD76&gt;=30,"P3","P4")))</x:f>
        <x:v>P3</x:v>
      </x:c>
      <x:c r="AF76" s="39" t="str">
        <x:v>Cliente recurrente con oportunidad activa</x:v>
      </x:c>
      <x:c r="AG76" s="39" t="str">
        <x:v>Programada</x:v>
      </x:c>
      <x:c r="AH76" s="39" t="str">
        <x:v>https://www.google.com/maps?q=-5.196248,-80.655053</x:v>
      </x:c>
      <x:c r="AI76" s="39" t="str">
        <x:v>SINTÉTICO</x:v>
      </x:c>
    </x:row>
    <x:row r="77">
      <x:c r="A77" s="39" t="str">
        <x:v>CLI-076</x:v>
      </x:c>
      <x:c r="B77" s="39" t="str">
        <x:v>Cliente 076</x:v>
      </x:c>
      <x:c r="C77" s="39" t="str">
        <x:v>COBRANZA</x:v>
      </x:c>
      <x:c r="D77" s="39" t="str">
        <x:v>Deudor</x:v>
      </x:c>
      <x:c r="E77" s="39" t="str">
        <x:v>Cobranza de crédito</x:v>
      </x:c>
      <x:c r="F77" s="39" t="str">
        <x:v>Recuperación</x:v>
      </x:c>
      <x:c r="G77" s="40" t="n">
        <x:v>-5.224136</x:v>
      </x:c>
      <x:c r="H77" s="40" t="n">
        <x:v>-80.625447</x:v>
      </x:c>
      <x:c r="I77" s="39" t="str">
        <x:v>Piura</x:v>
      </x:c>
      <x:c r="J77" s="39" t="str">
        <x:v>Piura</x:v>
      </x:c>
      <x:c r="K77" s="39" t="str">
        <x:v>AG02</x:v>
      </x:c>
      <x:c r="L77" s="39" t="str">
        <x:v>Mibanco Sánchez Cerro</x:v>
      </x:c>
      <x:c r="M77" s="41" t="n">
        <x:v>3.75</x:v>
      </x:c>
      <x:c r="N77" s="42" t="n">
        <x:v>46291</x:v>
      </x:c>
      <x:c r="O77" s="43" t="n">
        <x:v>0.5833333333333334</x:v>
      </x:c>
      <x:c r="P77" s="43" t="n">
        <x:v>0.625</x:v>
      </x:c>
      <x:c r="Q77" s="39" t="n">
        <x:v>40</x:v>
      </x:c>
      <x:c r="R77" s="44" t="n">
        <x:v>0</x:v>
      </x:c>
      <x:c r="S77" s="39" t="str">
        <x:v>No aplica</x:v>
      </x:c>
      <x:c r="T77" s="45" t="n">
        <x:v>0</x:v>
      </x:c>
      <x:c r="U77" s="39" t="n">
        <x:v>10</x:v>
      </x:c>
      <x:c r="V77" s="44" t="n">
        <x:v>11600</x:v>
      </x:c>
      <x:c r="W77" s="39" t="str">
        <x:v>Sí</x:v>
      </x:c>
      <x:c r="X77" s="42" t="n">
        <x:v>46288</x:v>
      </x:c>
      <x:c r="Y77" s="39" t="str">
        <x:v>Incumplido</x:v>
      </x:c>
      <x:c r="Z77" s="39" t="n">
        <x:v>3</x:v>
      </x:c>
      <x:c r="AA77" s="39" t="str">
        <x:v>No responde</x:v>
      </x:c>
      <x:c r="AB77" s="39" t="str">
        <x:v>No</x:v>
      </x:c>
      <x:c r="AC77" s="39" t="str">
        <x:v>No</x:v>
      </x:c>
      <x:c r="AD77" s="46" t="n">
        <x:f>IF(C77="COMERCIAL",IF(AC77="Sí",40,0)+IF(D77="Recurrente",15,0)+IF(S77="Alto",25,IF(S77="Medio",12,0))+IF(R77&gt;=30000,20,IF(R77&gt;=10000,12,IF(R77&gt;=5000,6,0)))+IF(N77&lt;=Metadatos!$B$13+1,25,0)+IF(AB77="Sí",15,0)+IF(AA77="No responde",-10,0),IF(Y77="Incumplido",40,0)+IF(AND(W77="Sí",X77=Metadatos!$B$13),35,0)+IF(V77&gt;=20000,25,IF(V77&gt;=10000,18,IF(V77&gt;=5000,10,0)))+IF(U77&gt;=15,25,IF(U77&gt;=6,20,IF(U77&gt;=3,10,0)))+IF(Z77&gt;=3,20,IF(Z77&gt;=2,10,0))+IF(AA77="Respondió",-10,0)+IF(AND(Y77="Vigente",X77&gt;Metadatos!$B$13),-10,0))</x:f>
        <x:v>98</x:v>
      </x:c>
      <x:c r="AE77" s="39" t="str">
        <x:f>IF(AD77&gt;=70,"P1",IF(AD77&gt;=50,"P2",IF(AD77&gt;=30,"P3","P4")))</x:f>
        <x:v>P1</x:v>
      </x:c>
      <x:c r="AF77" s="39" t="str">
        <x:v>Compromiso incumplido y cliente sin respuesta</x:v>
      </x:c>
      <x:c r="AG77" s="39" t="str">
        <x:v>Programada</x:v>
      </x:c>
      <x:c r="AH77" s="39" t="str">
        <x:v>https://www.google.com/maps?q=-5.224136,-80.625447</x:v>
      </x:c>
      <x:c r="AI77" s="39" t="str">
        <x:v>SINTÉTICO</x:v>
      </x:c>
    </x:row>
    <x:row r="78">
      <x:c r="A78" s="39" t="str">
        <x:v>CLI-077</x:v>
      </x:c>
      <x:c r="B78" s="39" t="str">
        <x:v>Cliente 077</x:v>
      </x:c>
      <x:c r="C78" s="39" t="str">
        <x:v>COMERCIAL</x:v>
      </x:c>
      <x:c r="D78" s="39" t="str">
        <x:v>Nuevo</x:v>
      </x:c>
      <x:c r="E78" s="39" t="str">
        <x:v>Seguro</x:v>
      </x:c>
      <x:c r="F78" s="39" t="str">
        <x:v>Cierre</x:v>
      </x:c>
      <x:c r="G78" s="40" t="n">
        <x:v>-5.202397</x:v>
      </x:c>
      <x:c r="H78" s="40" t="n">
        <x:v>-80.650836</x:v>
      </x:c>
      <x:c r="I78" s="39" t="str">
        <x:v>Piura</x:v>
      </x:c>
      <x:c r="J78" s="39" t="str">
        <x:v>Piura</x:v>
      </x:c>
      <x:c r="K78" s="39" t="str">
        <x:v>AG02</x:v>
      </x:c>
      <x:c r="L78" s="39" t="str">
        <x:v>Mibanco Sánchez Cerro</x:v>
      </x:c>
      <x:c r="M78" s="41" t="n">
        <x:v>2.53</x:v>
      </x:c>
      <x:c r="N78" s="42" t="n">
        <x:v>46292</x:v>
      </x:c>
      <x:c r="O78" s="43" t="n">
        <x:v>0.4583333333333333</x:v>
      </x:c>
      <x:c r="P78" s="43" t="n">
        <x:v>0.5208333333333334</x:v>
      </x:c>
      <x:c r="Q78" s="39" t="n">
        <x:v>35</x:v>
      </x:c>
      <x:c r="R78" s="44" t="n">
        <x:v>32500</x:v>
      </x:c>
      <x:c r="S78" s="39" t="str">
        <x:v>Alto</x:v>
      </x:c>
      <x:c r="T78" s="45" t="n">
        <x:v>0.87</x:v>
      </x:c>
      <x:c r="U78" s="39" t="n">
        <x:v>0</x:v>
      </x:c>
      <x:c r="V78" s="44" t="n">
        <x:v>0</x:v>
      </x:c>
      <x:c r="W78" s="39" t="str">
        <x:v>No</x:v>
      </x:c>
      <x:c r="X78" s="42"/>
      <x:c r="Y78" s="39" t="str">
        <x:v>No aplica</x:v>
      </x:c>
      <x:c r="Z78" s="39" t="n">
        <x:v>0</x:v>
      </x:c>
      <x:c r="AA78" s="39" t="str">
        <x:v>Respondió</x:v>
      </x:c>
      <x:c r="AB78" s="39" t="str">
        <x:v>Sí</x:v>
      </x:c>
      <x:c r="AC78" s="39" t="str">
        <x:v>No</x:v>
      </x:c>
      <x:c r="AD78" s="46" t="n">
        <x:f>IF(C78="COMERCIAL",IF(AC78="Sí",40,0)+IF(D78="Recurrente",15,0)+IF(S78="Alto",25,IF(S78="Medio",12,0))+IF(R78&gt;=30000,20,IF(R78&gt;=10000,12,IF(R78&gt;=5000,6,0)))+IF(N78&lt;=Metadatos!$B$13+1,25,0)+IF(AB78="Sí",15,0)+IF(AA78="No responde",-10,0),IF(Y78="Incumplido",40,0)+IF(AND(W78="Sí",X78=Metadatos!$B$13),35,0)+IF(V78&gt;=20000,25,IF(V78&gt;=10000,18,IF(V78&gt;=5000,10,0)))+IF(U78&gt;=15,25,IF(U78&gt;=6,20,IF(U78&gt;=3,10,0)))+IF(Z78&gt;=3,20,IF(Z78&gt;=2,10,0))+IF(AA78="Respondió",-10,0)+IF(AND(Y78="Vigente",X78&gt;Metadatos!$B$13),-10,0))</x:f>
        <x:v>85</x:v>
      </x:c>
      <x:c r="AE78" s="39" t="str">
        <x:f>IF(AD78&gt;=70,"P1",IF(AD78&gt;=50,"P2",IF(AD78&gt;=30,"P3","P4")))</x:f>
        <x:v>P1</x:v>
      </x:c>
      <x:c r="AF78" s="39" t="str">
        <x:v>Interés alto y monto comercial alto</x:v>
      </x:c>
      <x:c r="AG78" s="39" t="str">
        <x:v>Pendiente</x:v>
      </x:c>
      <x:c r="AH78" s="39" t="str">
        <x:v>https://www.google.com/maps?q=-5.202397,-80.650836</x:v>
      </x:c>
      <x:c r="AI78" s="39" t="str">
        <x:v>SINTÉTICO</x:v>
      </x:c>
    </x:row>
    <x:row r="79">
      <x:c r="A79" s="39" t="str">
        <x:v>CLI-078</x:v>
      </x:c>
      <x:c r="B79" s="39" t="str">
        <x:v>Cliente 078</x:v>
      </x:c>
      <x:c r="C79" s="39" t="str">
        <x:v>COBRANZA</x:v>
      </x:c>
      <x:c r="D79" s="39" t="str">
        <x:v>Deudor</x:v>
      </x:c>
      <x:c r="E79" s="39" t="str">
        <x:v>Cobranza de crédito</x:v>
      </x:c>
      <x:c r="F79" s="39" t="str">
        <x:v>Recuperación</x:v>
      </x:c>
      <x:c r="G79" s="40" t="n">
        <x:v>-5.216461</x:v>
      </x:c>
      <x:c r="H79" s="40" t="n">
        <x:v>-80.630806</x:v>
      </x:c>
      <x:c r="I79" s="39" t="str">
        <x:v>Piura</x:v>
      </x:c>
      <x:c r="J79" s="39" t="str">
        <x:v>Piura</x:v>
      </x:c>
      <x:c r="K79" s="39" t="str">
        <x:v>AG02</x:v>
      </x:c>
      <x:c r="L79" s="39" t="str">
        <x:v>Mibanco Sánchez Cerro</x:v>
      </x:c>
      <x:c r="M79" s="41" t="n">
        <x:v>2.84</x:v>
      </x:c>
      <x:c r="N79" s="42" t="n">
        <x:v>46294</x:v>
      </x:c>
      <x:c r="O79" s="43" t="n">
        <x:v>0.5</x:v>
      </x:c>
      <x:c r="P79" s="43" t="n">
        <x:v>0.5416666666666666</x:v>
      </x:c>
      <x:c r="Q79" s="39" t="n">
        <x:v>25</x:v>
      </x:c>
      <x:c r="R79" s="44" t="n">
        <x:v>0</x:v>
      </x:c>
      <x:c r="S79" s="39" t="str">
        <x:v>No aplica</x:v>
      </x:c>
      <x:c r="T79" s="45" t="n">
        <x:v>0</x:v>
      </x:c>
      <x:c r="U79" s="39" t="n">
        <x:v>3</x:v>
      </x:c>
      <x:c r="V79" s="44" t="n">
        <x:v>17900</x:v>
      </x:c>
      <x:c r="W79" s="39" t="str">
        <x:v>No</x:v>
      </x:c>
      <x:c r="X79" s="42"/>
      <x:c r="Y79" s="39" t="str">
        <x:v>Sin compromiso</x:v>
      </x:c>
      <x:c r="Z79" s="39" t="n">
        <x:v>2</x:v>
      </x:c>
      <x:c r="AA79" s="39" t="str">
        <x:v>No responde</x:v>
      </x:c>
      <x:c r="AB79" s="39" t="str">
        <x:v>No</x:v>
      </x:c>
      <x:c r="AC79" s="39" t="str">
        <x:v>No</x:v>
      </x:c>
      <x:c r="AD79" s="46" t="n">
        <x:f>IF(C79="COMERCIAL",IF(AC79="Sí",40,0)+IF(D79="Recurrente",15,0)+IF(S79="Alto",25,IF(S79="Medio",12,0))+IF(R79&gt;=30000,20,IF(R79&gt;=10000,12,IF(R79&gt;=5000,6,0)))+IF(N79&lt;=Metadatos!$B$13+1,25,0)+IF(AB79="Sí",15,0)+IF(AA79="No responde",-10,0),IF(Y79="Incumplido",40,0)+IF(AND(W79="Sí",X79=Metadatos!$B$13),35,0)+IF(V79&gt;=20000,25,IF(V79&gt;=10000,18,IF(V79&gt;=5000,10,0)))+IF(U79&gt;=15,25,IF(U79&gt;=6,20,IF(U79&gt;=3,10,0)))+IF(Z79&gt;=3,20,IF(Z79&gt;=2,10,0))+IF(AA79="Respondió",-10,0)+IF(AND(Y79="Vigente",X79&gt;Metadatos!$B$13),-10,0))</x:f>
        <x:v>38</x:v>
      </x:c>
      <x:c r="AE79" s="39" t="str">
        <x:f>IF(AD79&gt;=70,"P1",IF(AD79&gt;=50,"P2",IF(AD79&gt;=30,"P3","P4")))</x:f>
        <x:v>P3</x:v>
      </x:c>
      <x:c r="AF79" s="39" t="str">
        <x:v>Mora reciente con seguimiento programable</x:v>
      </x:c>
      <x:c r="AG79" s="39" t="str">
        <x:v>Programada</x:v>
      </x:c>
      <x:c r="AH79" s="39" t="str">
        <x:v>https://www.google.com/maps?q=-5.216461,-80.630806</x:v>
      </x:c>
      <x:c r="AI79" s="39" t="str">
        <x:v>SINTÉTICO</x:v>
      </x:c>
    </x:row>
    <x:row r="80">
      <x:c r="A80" s="39" t="str">
        <x:v>CLI-079</x:v>
      </x:c>
      <x:c r="B80" s="39" t="str">
        <x:v>Cliente 079</x:v>
      </x:c>
      <x:c r="C80" s="39" t="str">
        <x:v>COMERCIAL</x:v>
      </x:c>
      <x:c r="D80" s="39" t="str">
        <x:v>Recurrente</x:v>
      </x:c>
      <x:c r="E80" s="39" t="str">
        <x:v>Crédito para negocio</x:v>
      </x:c>
      <x:c r="F80" s="39" t="str">
        <x:v>Contactado</x:v>
      </x:c>
      <x:c r="G80" s="40" t="n">
        <x:v>-5.220895</x:v>
      </x:c>
      <x:c r="H80" s="40" t="n">
        <x:v>-80.631309</x:v>
      </x:c>
      <x:c r="I80" s="39" t="str">
        <x:v>Piura</x:v>
      </x:c>
      <x:c r="J80" s="39" t="str">
        <x:v>Piura</x:v>
      </x:c>
      <x:c r="K80" s="39" t="str">
        <x:v>AG02</x:v>
      </x:c>
      <x:c r="L80" s="39" t="str">
        <x:v>Mibanco Sánchez Cerro</x:v>
      </x:c>
      <x:c r="M80" s="41" t="n">
        <x:v>3.33</x:v>
      </x:c>
      <x:c r="N80" s="42" t="n">
        <x:v>46293</x:v>
      </x:c>
      <x:c r="O80" s="43" t="n">
        <x:v>0.4583333333333333</x:v>
      </x:c>
      <x:c r="P80" s="43" t="n">
        <x:v>0.5208333333333334</x:v>
      </x:c>
      <x:c r="Q80" s="39" t="n">
        <x:v>35</x:v>
      </x:c>
      <x:c r="R80" s="44" t="n">
        <x:v>38700</x:v>
      </x:c>
      <x:c r="S80" s="39" t="str">
        <x:v>Medio</x:v>
      </x:c>
      <x:c r="T80" s="45" t="n">
        <x:v>0.48</x:v>
      </x:c>
      <x:c r="U80" s="39" t="n">
        <x:v>0</x:v>
      </x:c>
      <x:c r="V80" s="44" t="n">
        <x:v>0</x:v>
      </x:c>
      <x:c r="W80" s="39" t="str">
        <x:v>No</x:v>
      </x:c>
      <x:c r="X80" s="42"/>
      <x:c r="Y80" s="39" t="str">
        <x:v>No aplica</x:v>
      </x:c>
      <x:c r="Z80" s="39" t="n">
        <x:v>0</x:v>
      </x:c>
      <x:c r="AA80" s="39" t="str">
        <x:v>No responde</x:v>
      </x:c>
      <x:c r="AB80" s="39" t="str">
        <x:v>No</x:v>
      </x:c>
      <x:c r="AC80" s="39" t="str">
        <x:v>No</x:v>
      </x:c>
      <x:c r="AD80" s="46" t="n">
        <x:f>IF(C80="COMERCIAL",IF(AC80="Sí",40,0)+IF(D80="Recurrente",15,0)+IF(S80="Alto",25,IF(S80="Medio",12,0))+IF(R80&gt;=30000,20,IF(R80&gt;=10000,12,IF(R80&gt;=5000,6,0)))+IF(N80&lt;=Metadatos!$B$13+1,25,0)+IF(AB80="Sí",15,0)+IF(AA80="No responde",-10,0),IF(Y80="Incumplido",40,0)+IF(AND(W80="Sí",X80=Metadatos!$B$13),35,0)+IF(V80&gt;=20000,25,IF(V80&gt;=10000,18,IF(V80&gt;=5000,10,0)))+IF(U80&gt;=15,25,IF(U80&gt;=6,20,IF(U80&gt;=3,10,0)))+IF(Z80&gt;=3,20,IF(Z80&gt;=2,10,0))+IF(AA80="Respondió",-10,0)+IF(AND(Y80="Vigente",X80&gt;Metadatos!$B$13),-10,0))</x:f>
        <x:v>37</x:v>
      </x:c>
      <x:c r="AE80" s="39" t="str">
        <x:f>IF(AD80&gt;=70,"P1",IF(AD80&gt;=50,"P2",IF(AD80&gt;=30,"P3","P4")))</x:f>
        <x:v>P3</x:v>
      </x:c>
      <x:c r="AF80" s="39" t="str">
        <x:v>Cliente recurrente con oportunidad activa</x:v>
      </x:c>
      <x:c r="AG80" s="39" t="str">
        <x:v>Pendiente</x:v>
      </x:c>
      <x:c r="AH80" s="39" t="str">
        <x:v>https://www.google.com/maps?q=-5.220895,-80.631309</x:v>
      </x:c>
      <x:c r="AI80" s="39" t="str">
        <x:v>SINTÉTICO</x:v>
      </x:c>
    </x:row>
    <x:row r="81">
      <x:c r="A81" s="39" t="str">
        <x:v>CLI-080</x:v>
      </x:c>
      <x:c r="B81" s="39" t="str">
        <x:v>Cliente 080</x:v>
      </x:c>
      <x:c r="C81" s="39" t="str">
        <x:v>COBRANZA</x:v>
      </x:c>
      <x:c r="D81" s="39" t="str">
        <x:v>Deudor</x:v>
      </x:c>
      <x:c r="E81" s="39" t="str">
        <x:v>Cobranza de crédito</x:v>
      </x:c>
      <x:c r="F81" s="39" t="str">
        <x:v>Recuperación</x:v>
      </x:c>
      <x:c r="G81" s="40" t="n">
        <x:v>-5.166883</x:v>
      </x:c>
      <x:c r="H81" s="40" t="n">
        <x:v>-80.626168</x:v>
      </x:c>
      <x:c r="I81" s="39" t="str">
        <x:v>Piura</x:v>
      </x:c>
      <x:c r="J81" s="39" t="str">
        <x:v>Piura</x:v>
      </x:c>
      <x:c r="K81" s="39" t="str">
        <x:v>AG02</x:v>
      </x:c>
      <x:c r="L81" s="39" t="str">
        <x:v>Mibanco Sánchez Cerro</x:v>
      </x:c>
      <x:c r="M81" s="41" t="n">
        <x:v>2.73</x:v>
      </x:c>
      <x:c r="N81" s="42" t="n">
        <x:v>46291</x:v>
      </x:c>
      <x:c r="O81" s="43" t="n">
        <x:v>0.3333333333333333</x:v>
      </x:c>
      <x:c r="P81" s="43" t="n">
        <x:v>0.4166666666666667</x:v>
      </x:c>
      <x:c r="Q81" s="39" t="n">
        <x:v>35</x:v>
      </x:c>
      <x:c r="R81" s="44" t="n">
        <x:v>0</x:v>
      </x:c>
      <x:c r="S81" s="39" t="str">
        <x:v>No aplica</x:v>
      </x:c>
      <x:c r="T81" s="45" t="n">
        <x:v>0</x:v>
      </x:c>
      <x:c r="U81" s="39" t="n">
        <x:v>6</x:v>
      </x:c>
      <x:c r="V81" s="44" t="n">
        <x:v>7300</x:v>
      </x:c>
      <x:c r="W81" s="39" t="str">
        <x:v>Sí</x:v>
      </x:c>
      <x:c r="X81" s="42" t="n">
        <x:v>46290</x:v>
      </x:c>
      <x:c r="Y81" s="39" t="str">
        <x:v>Incumplido</x:v>
      </x:c>
      <x:c r="Z81" s="39" t="n">
        <x:v>1</x:v>
      </x:c>
      <x:c r="AA81" s="39" t="str">
        <x:v>Respondió</x:v>
      </x:c>
      <x:c r="AB81" s="39" t="str">
        <x:v>No</x:v>
      </x:c>
      <x:c r="AC81" s="39" t="str">
        <x:v>No</x:v>
      </x:c>
      <x:c r="AD81" s="46" t="n">
        <x:f>IF(C81="COMERCIAL",IF(AC81="Sí",40,0)+IF(D81="Recurrente",15,0)+IF(S81="Alto",25,IF(S81="Medio",12,0))+IF(R81&gt;=30000,20,IF(R81&gt;=10000,12,IF(R81&gt;=5000,6,0)))+IF(N81&lt;=Metadatos!$B$13+1,25,0)+IF(AB81="Sí",15,0)+IF(AA81="No responde",-10,0),IF(Y81="Incumplido",40,0)+IF(AND(W81="Sí",X81=Metadatos!$B$13),35,0)+IF(V81&gt;=20000,25,IF(V81&gt;=10000,18,IF(V81&gt;=5000,10,0)))+IF(U81&gt;=15,25,IF(U81&gt;=6,20,IF(U81&gt;=3,10,0)))+IF(Z81&gt;=3,20,IF(Z81&gt;=2,10,0))+IF(AA81="Respondió",-10,0)+IF(AND(Y81="Vigente",X81&gt;Metadatos!$B$13),-10,0))</x:f>
        <x:v>60</x:v>
      </x:c>
      <x:c r="AE81" s="39" t="str">
        <x:f>IF(AD81&gt;=70,"P1",IF(AD81&gt;=50,"P2",IF(AD81&gt;=30,"P3","P4")))</x:f>
        <x:v>P2</x:v>
      </x:c>
      <x:c r="AF81" s="39" t="str">
        <x:v>Compromiso de pago incumplido</x:v>
      </x:c>
      <x:c r="AG81" s="39" t="str">
        <x:v>Programada</x:v>
      </x:c>
      <x:c r="AH81" s="39" t="str">
        <x:v>https://www.google.com/maps?q=-5.166883,-80.626168</x:v>
      </x:c>
      <x:c r="AI81" s="39" t="str">
        <x:v>SINTÉTICO</x:v>
      </x:c>
    </x:row>
    <x:row r="82">
      <x:c r="A82" s="39" t="str">
        <x:v>CLI-081</x:v>
      </x:c>
      <x:c r="B82" s="39" t="str">
        <x:v>Cliente 081</x:v>
      </x:c>
      <x:c r="C82" s="39" t="str">
        <x:v>COMERCIAL</x:v>
      </x:c>
      <x:c r="D82" s="39" t="str">
        <x:v>Recurrente</x:v>
      </x:c>
      <x:c r="E82" s="39" t="str">
        <x:v>Crédito para negocio</x:v>
      </x:c>
      <x:c r="F82" s="39" t="str">
        <x:v>Prospecto</x:v>
      </x:c>
      <x:c r="G82" s="40" t="n">
        <x:v>-5.202825</x:v>
      </x:c>
      <x:c r="H82" s="40" t="n">
        <x:v>-80.637337</x:v>
      </x:c>
      <x:c r="I82" s="39" t="str">
        <x:v>Castilla</x:v>
      </x:c>
      <x:c r="J82" s="39" t="str">
        <x:v>Piura</x:v>
      </x:c>
      <x:c r="K82" s="39" t="str">
        <x:v>AG03</x:v>
      </x:c>
      <x:c r="L82" s="39" t="str">
        <x:v>Mibanco Castilla</x:v>
      </x:c>
      <x:c r="M82" s="41" t="n">
        <x:v>2.04</x:v>
      </x:c>
      <x:c r="N82" s="42" t="n">
        <x:v>46295</x:v>
      </x:c>
      <x:c r="O82" s="43" t="n">
        <x:v>0.5625</x:v>
      </x:c>
      <x:c r="P82" s="43" t="n">
        <x:v>0.6041666666666666</x:v>
      </x:c>
      <x:c r="Q82" s="39" t="n">
        <x:v>60</x:v>
      </x:c>
      <x:c r="R82" s="44" t="n">
        <x:v>39800</x:v>
      </x:c>
      <x:c r="S82" s="39" t="str">
        <x:v>Bajo</x:v>
      </x:c>
      <x:c r="T82" s="45" t="n">
        <x:v>0.34</x:v>
      </x:c>
      <x:c r="U82" s="39" t="n">
        <x:v>0</x:v>
      </x:c>
      <x:c r="V82" s="44" t="n">
        <x:v>0</x:v>
      </x:c>
      <x:c r="W82" s="39" t="str">
        <x:v>No</x:v>
      </x:c>
      <x:c r="X82" s="42"/>
      <x:c r="Y82" s="39" t="str">
        <x:v>No aplica</x:v>
      </x:c>
      <x:c r="Z82" s="39" t="n">
        <x:v>0</x:v>
      </x:c>
      <x:c r="AA82" s="39" t="str">
        <x:v>No responde</x:v>
      </x:c>
      <x:c r="AB82" s="39" t="str">
        <x:v>No</x:v>
      </x:c>
      <x:c r="AC82" s="39" t="str">
        <x:v>No</x:v>
      </x:c>
      <x:c r="AD82" s="46" t="n">
        <x:f>IF(C82="COMERCIAL",IF(AC82="Sí",40,0)+IF(D82="Recurrente",15,0)+IF(S82="Alto",25,IF(S82="Medio",12,0))+IF(R82&gt;=30000,20,IF(R82&gt;=10000,12,IF(R82&gt;=5000,6,0)))+IF(N82&lt;=Metadatos!$B$13+1,25,0)+IF(AB82="Sí",15,0)+IF(AA82="No responde",-10,0),IF(Y82="Incumplido",40,0)+IF(AND(W82="Sí",X82=Metadatos!$B$13),35,0)+IF(V82&gt;=20000,25,IF(V82&gt;=10000,18,IF(V82&gt;=5000,10,0)))+IF(U82&gt;=15,25,IF(U82&gt;=6,20,IF(U82&gt;=3,10,0)))+IF(Z82&gt;=3,20,IF(Z82&gt;=2,10,0))+IF(AA82="Respondió",-10,0)+IF(AND(Y82="Vigente",X82&gt;Metadatos!$B$13),-10,0))</x:f>
        <x:v>25</x:v>
      </x:c>
      <x:c r="AE82" s="39" t="str">
        <x:f>IF(AD82&gt;=70,"P1",IF(AD82&gt;=50,"P2",IF(AD82&gt;=30,"P3","P4")))</x:f>
        <x:v>P4</x:v>
      </x:c>
      <x:c r="AF82" s="39" t="str">
        <x:v>Prospecto sin urgencia inmediata</x:v>
      </x:c>
      <x:c r="AG82" s="39" t="str">
        <x:v>Programada</x:v>
      </x:c>
      <x:c r="AH82" s="39" t="str">
        <x:v>https://www.google.com/maps?q=-5.202825,-80.637337</x:v>
      </x:c>
      <x:c r="AI82" s="39" t="str">
        <x:v>SINTÉTICO</x:v>
      </x:c>
    </x:row>
    <x:row r="83">
      <x:c r="A83" s="39" t="str">
        <x:v>CLI-082</x:v>
      </x:c>
      <x:c r="B83" s="39" t="str">
        <x:v>Cliente 082</x:v>
      </x:c>
      <x:c r="C83" s="39" t="str">
        <x:v>COBRANZA</x:v>
      </x:c>
      <x:c r="D83" s="39" t="str">
        <x:v>Deudor</x:v>
      </x:c>
      <x:c r="E83" s="39" t="str">
        <x:v>Cobranza de crédito</x:v>
      </x:c>
      <x:c r="F83" s="39" t="str">
        <x:v>Recuperación</x:v>
      </x:c>
      <x:c r="G83" s="40" t="n">
        <x:v>-5.207272</x:v>
      </x:c>
      <x:c r="H83" s="40" t="n">
        <x:v>-80.600638</x:v>
      </x:c>
      <x:c r="I83" s="39" t="str">
        <x:v>Castilla</x:v>
      </x:c>
      <x:c r="J83" s="39" t="str">
        <x:v>Piura</x:v>
      </x:c>
      <x:c r="K83" s="39" t="str">
        <x:v>AG03</x:v>
      </x:c>
      <x:c r="L83" s="39" t="str">
        <x:v>Mibanco Castilla</x:v>
      </x:c>
      <x:c r="M83" s="41" t="n">
        <x:v>2.72</x:v>
      </x:c>
      <x:c r="N83" s="42" t="n">
        <x:v>46291</x:v>
      </x:c>
      <x:c r="O83" s="43" t="n">
        <x:v>0.3333333333333333</x:v>
      </x:c>
      <x:c r="P83" s="43" t="n">
        <x:v>0.4166666666666667</x:v>
      </x:c>
      <x:c r="Q83" s="39" t="n">
        <x:v>35</x:v>
      </x:c>
      <x:c r="R83" s="44" t="n">
        <x:v>0</x:v>
      </x:c>
      <x:c r="S83" s="39" t="str">
        <x:v>No aplica</x:v>
      </x:c>
      <x:c r="T83" s="45" t="n">
        <x:v>0</x:v>
      </x:c>
      <x:c r="U83" s="39" t="n">
        <x:v>15</x:v>
      </x:c>
      <x:c r="V83" s="44" t="n">
        <x:v>14800</x:v>
      </x:c>
      <x:c r="W83" s="39" t="str">
        <x:v>Sí</x:v>
      </x:c>
      <x:c r="X83" s="42" t="n">
        <x:v>46291</x:v>
      </x:c>
      <x:c r="Y83" s="39" t="str">
        <x:v>Vigente</x:v>
      </x:c>
      <x:c r="Z83" s="39" t="n">
        <x:v>3</x:v>
      </x:c>
      <x:c r="AA83" s="39" t="str">
        <x:v>Respondió</x:v>
      </x:c>
      <x:c r="AB83" s="39" t="str">
        <x:v>No</x:v>
      </x:c>
      <x:c r="AC83" s="39" t="str">
        <x:v>Sí</x:v>
      </x:c>
      <x:c r="AD83" s="46" t="n">
        <x:f>IF(C83="COMERCIAL",IF(AC83="Sí",40,0)+IF(D83="Recurrente",15,0)+IF(S83="Alto",25,IF(S83="Medio",12,0))+IF(R83&gt;=30000,20,IF(R83&gt;=10000,12,IF(R83&gt;=5000,6,0)))+IF(N83&lt;=Metadatos!$B$13+1,25,0)+IF(AB83="Sí",15,0)+IF(AA83="No responde",-10,0),IF(Y83="Incumplido",40,0)+IF(AND(W83="Sí",X83=Metadatos!$B$13),35,0)+IF(V83&gt;=20000,25,IF(V83&gt;=10000,18,IF(V83&gt;=5000,10,0)))+IF(U83&gt;=15,25,IF(U83&gt;=6,20,IF(U83&gt;=3,10,0)))+IF(Z83&gt;=3,20,IF(Z83&gt;=2,10,0))+IF(AA83="Respondió",-10,0)+IF(AND(Y83="Vigente",X83&gt;Metadatos!$B$13),-10,0))</x:f>
        <x:v>88</x:v>
      </x:c>
      <x:c r="AE83" s="39" t="str">
        <x:f>IF(AD83&gt;=70,"P1",IF(AD83&gt;=50,"P2",IF(AD83&gt;=30,"P3","P4")))</x:f>
        <x:v>P1</x:v>
      </x:c>
      <x:c r="AF83" s="39" t="str">
        <x:v>Compromiso de pago con vencimiento hoy</x:v>
      </x:c>
      <x:c r="AG83" s="39" t="str">
        <x:v>Programada</x:v>
      </x:c>
      <x:c r="AH83" s="39" t="str">
        <x:v>https://www.google.com/maps?q=-5.207272,-80.600638</x:v>
      </x:c>
      <x:c r="AI83" s="39" t="str">
        <x:v>SINTÉTICO</x:v>
      </x:c>
    </x:row>
    <x:row r="84">
      <x:c r="A84" s="39" t="str">
        <x:v>CLI-083</x:v>
      </x:c>
      <x:c r="B84" s="39" t="str">
        <x:v>Cliente 083</x:v>
      </x:c>
      <x:c r="C84" s="39" t="str">
        <x:v>COMERCIAL</x:v>
      </x:c>
      <x:c r="D84" s="39" t="str">
        <x:v>Nuevo</x:v>
      </x:c>
      <x:c r="E84" s="39" t="str">
        <x:v>Crédito para negocio</x:v>
      </x:c>
      <x:c r="F84" s="39" t="str">
        <x:v>Negociación</x:v>
      </x:c>
      <x:c r="G84" s="40" t="n">
        <x:v>-5.164693</x:v>
      </x:c>
      <x:c r="H84" s="40" t="n">
        <x:v>-80.626607</x:v>
      </x:c>
      <x:c r="I84" s="39" t="str">
        <x:v>Castilla</x:v>
      </x:c>
      <x:c r="J84" s="39" t="str">
        <x:v>Piura</x:v>
      </x:c>
      <x:c r="K84" s="39" t="str">
        <x:v>AG03</x:v>
      </x:c>
      <x:c r="L84" s="39" t="str">
        <x:v>Mibanco Castilla</x:v>
      </x:c>
      <x:c r="M84" s="41" t="n">
        <x:v>3.32</x:v>
      </x:c>
      <x:c r="N84" s="42" t="n">
        <x:v>46293</x:v>
      </x:c>
      <x:c r="O84" s="43" t="n">
        <x:v>0.3958333333333333</x:v>
      </x:c>
      <x:c r="P84" s="43" t="n">
        <x:v>0.4583333333333333</x:v>
      </x:c>
      <x:c r="Q84" s="39" t="n">
        <x:v>60</x:v>
      </x:c>
      <x:c r="R84" s="44" t="n">
        <x:v>7800</x:v>
      </x:c>
      <x:c r="S84" s="39" t="str">
        <x:v>Medio</x:v>
      </x:c>
      <x:c r="T84" s="45" t="n">
        <x:v>0.37</x:v>
      </x:c>
      <x:c r="U84" s="39" t="n">
        <x:v>0</x:v>
      </x:c>
      <x:c r="V84" s="44" t="n">
        <x:v>0</x:v>
      </x:c>
      <x:c r="W84" s="39" t="str">
        <x:v>No</x:v>
      </x:c>
      <x:c r="X84" s="42"/>
      <x:c r="Y84" s="39" t="str">
        <x:v>No aplica</x:v>
      </x:c>
      <x:c r="Z84" s="39" t="n">
        <x:v>0</x:v>
      </x:c>
      <x:c r="AA84" s="39" t="str">
        <x:v>Respondió</x:v>
      </x:c>
      <x:c r="AB84" s="39" t="str">
        <x:v>No</x:v>
      </x:c>
      <x:c r="AC84" s="39" t="str">
        <x:v>No</x:v>
      </x:c>
      <x:c r="AD84" s="46" t="n">
        <x:f>IF(C84="COMERCIAL",IF(AC84="Sí",40,0)+IF(D84="Recurrente",15,0)+IF(S84="Alto",25,IF(S84="Medio",12,0))+IF(R84&gt;=30000,20,IF(R84&gt;=10000,12,IF(R84&gt;=5000,6,0)))+IF(N84&lt;=Metadatos!$B$13+1,25,0)+IF(AB84="Sí",15,0)+IF(AA84="No responde",-10,0),IF(Y84="Incumplido",40,0)+IF(AND(W84="Sí",X84=Metadatos!$B$13),35,0)+IF(V84&gt;=20000,25,IF(V84&gt;=10000,18,IF(V84&gt;=5000,10,0)))+IF(U84&gt;=15,25,IF(U84&gt;=6,20,IF(U84&gt;=3,10,0)))+IF(Z84&gt;=3,20,IF(Z84&gt;=2,10,0))+IF(AA84="Respondió",-10,0)+IF(AND(Y84="Vigente",X84&gt;Metadatos!$B$13),-10,0))</x:f>
        <x:v>18</x:v>
      </x:c>
      <x:c r="AE84" s="39" t="str">
        <x:f>IF(AD84&gt;=70,"P1",IF(AD84&gt;=50,"P2",IF(AD84&gt;=30,"P3","P4")))</x:f>
        <x:v>P4</x:v>
      </x:c>
      <x:c r="AF84" s="39" t="str">
        <x:v>Interés medio; requiere seguimiento</x:v>
      </x:c>
      <x:c r="AG84" s="39" t="str">
        <x:v>Pendiente</x:v>
      </x:c>
      <x:c r="AH84" s="39" t="str">
        <x:v>https://www.google.com/maps?q=-5.164693,-80.626607</x:v>
      </x:c>
      <x:c r="AI84" s="39" t="str">
        <x:v>SINTÉTICO</x:v>
      </x:c>
    </x:row>
    <x:row r="85">
      <x:c r="A85" s="39" t="str">
        <x:v>CLI-084</x:v>
      </x:c>
      <x:c r="B85" s="39" t="str">
        <x:v>Cliente 084</x:v>
      </x:c>
      <x:c r="C85" s="39" t="str">
        <x:v>COBRANZA</x:v>
      </x:c>
      <x:c r="D85" s="39" t="str">
        <x:v>Deudor</x:v>
      </x:c>
      <x:c r="E85" s="39" t="str">
        <x:v>Cobranza de crédito</x:v>
      </x:c>
      <x:c r="F85" s="39" t="str">
        <x:v>Recuperación</x:v>
      </x:c>
      <x:c r="G85" s="40" t="n">
        <x:v>-5.200103</x:v>
      </x:c>
      <x:c r="H85" s="40" t="n">
        <x:v>-80.61286</x:v>
      </x:c>
      <x:c r="I85" s="39" t="str">
        <x:v>Castilla</x:v>
      </x:c>
      <x:c r="J85" s="39" t="str">
        <x:v>Piura</x:v>
      </x:c>
      <x:c r="K85" s="39" t="str">
        <x:v>AG03</x:v>
      </x:c>
      <x:c r="L85" s="39" t="str">
        <x:v>Mibanco Castilla</x:v>
      </x:c>
      <x:c r="M85" s="41" t="n">
        <x:v>1.15</x:v>
      </x:c>
      <x:c r="N85" s="42" t="n">
        <x:v>46292</x:v>
      </x:c>
      <x:c r="O85" s="43" t="n">
        <x:v>0.4166666666666667</x:v>
      </x:c>
      <x:c r="P85" s="43" t="n">
        <x:v>0.4791666666666667</x:v>
      </x:c>
      <x:c r="Q85" s="39" t="n">
        <x:v>50</x:v>
      </x:c>
      <x:c r="R85" s="44" t="n">
        <x:v>0</x:v>
      </x:c>
      <x:c r="S85" s="39" t="str">
        <x:v>No aplica</x:v>
      </x:c>
      <x:c r="T85" s="45" t="n">
        <x:v>0</x:v>
      </x:c>
      <x:c r="U85" s="39" t="n">
        <x:v>7</x:v>
      </x:c>
      <x:c r="V85" s="44" t="n">
        <x:v>10600</x:v>
      </x:c>
      <x:c r="W85" s="39" t="str">
        <x:v>No</x:v>
      </x:c>
      <x:c r="X85" s="42"/>
      <x:c r="Y85" s="39" t="str">
        <x:v>Sin compromiso</x:v>
      </x:c>
      <x:c r="Z85" s="39" t="n">
        <x:v>2</x:v>
      </x:c>
      <x:c r="AA85" s="39" t="str">
        <x:v>Respondió</x:v>
      </x:c>
      <x:c r="AB85" s="39" t="str">
        <x:v>No</x:v>
      </x:c>
      <x:c r="AC85" s="39" t="str">
        <x:v>No</x:v>
      </x:c>
      <x:c r="AD85" s="46" t="n">
        <x:f>IF(C85="COMERCIAL",IF(AC85="Sí",40,0)+IF(D85="Recurrente",15,0)+IF(S85="Alto",25,IF(S85="Medio",12,0))+IF(R85&gt;=30000,20,IF(R85&gt;=10000,12,IF(R85&gt;=5000,6,0)))+IF(N85&lt;=Metadatos!$B$13+1,25,0)+IF(AB85="Sí",15,0)+IF(AA85="No responde",-10,0),IF(Y85="Incumplido",40,0)+IF(AND(W85="Sí",X85=Metadatos!$B$13),35,0)+IF(V85&gt;=20000,25,IF(V85&gt;=10000,18,IF(V85&gt;=5000,10,0)))+IF(U85&gt;=15,25,IF(U85&gt;=6,20,IF(U85&gt;=3,10,0)))+IF(Z85&gt;=3,20,IF(Z85&gt;=2,10,0))+IF(AA85="Respondió",-10,0)+IF(AND(Y85="Vigente",X85&gt;Metadatos!$B$13),-10,0))</x:f>
        <x:v>38</x:v>
      </x:c>
      <x:c r="AE85" s="39" t="str">
        <x:f>IF(AD85&gt;=70,"P1",IF(AD85&gt;=50,"P2",IF(AD85&gt;=30,"P3","P4")))</x:f>
        <x:v>P3</x:v>
      </x:c>
      <x:c r="AF85" s="39" t="str">
        <x:v>Seguimiento por días de mora</x:v>
      </x:c>
      <x:c r="AG85" s="39" t="str">
        <x:v>Pendiente</x:v>
      </x:c>
      <x:c r="AH85" s="39" t="str">
        <x:v>https://www.google.com/maps?q=-5.200103,-80.612860</x:v>
      </x:c>
      <x:c r="AI85" s="39" t="str">
        <x:v>SINTÉTICO</x:v>
      </x:c>
    </x:row>
    <x:row r="86">
      <x:c r="A86" s="39" t="str">
        <x:v>CLI-085</x:v>
      </x:c>
      <x:c r="B86" s="39" t="str">
        <x:v>Cliente 085</x:v>
      </x:c>
      <x:c r="C86" s="39" t="str">
        <x:v>COMERCIAL</x:v>
      </x:c>
      <x:c r="D86" s="39" t="str">
        <x:v>Recurrente</x:v>
      </x:c>
      <x:c r="E86" s="39" t="str">
        <x:v>Crédito para negocio</x:v>
      </x:c>
      <x:c r="F86" s="39" t="str">
        <x:v>Cierre</x:v>
      </x:c>
      <x:c r="G86" s="40" t="n">
        <x:v>-5.217974</x:v>
      </x:c>
      <x:c r="H86" s="40" t="n">
        <x:v>-80.638809</x:v>
      </x:c>
      <x:c r="I86" s="39" t="str">
        <x:v>Castilla</x:v>
      </x:c>
      <x:c r="J86" s="39" t="str">
        <x:v>Piura</x:v>
      </x:c>
      <x:c r="K86" s="39" t="str">
        <x:v>AG03</x:v>
      </x:c>
      <x:c r="L86" s="39" t="str">
        <x:v>Mibanco Castilla</x:v>
      </x:c>
      <x:c r="M86" s="41" t="n">
        <x:v>3.3</x:v>
      </x:c>
      <x:c r="N86" s="42" t="n">
        <x:v>46291</x:v>
      </x:c>
      <x:c r="O86" s="43" t="n">
        <x:v>0.5208333333333334</x:v>
      </x:c>
      <x:c r="P86" s="43" t="n">
        <x:v>0.5625</x:v>
      </x:c>
      <x:c r="Q86" s="39" t="n">
        <x:v>45</x:v>
      </x:c>
      <x:c r="R86" s="44" t="n">
        <x:v>40600</x:v>
      </x:c>
      <x:c r="S86" s="39" t="str">
        <x:v>Alto</x:v>
      </x:c>
      <x:c r="T86" s="45" t="n">
        <x:v>0.92</x:v>
      </x:c>
      <x:c r="U86" s="39" t="n">
        <x:v>0</x:v>
      </x:c>
      <x:c r="V86" s="44" t="n">
        <x:v>0</x:v>
      </x:c>
      <x:c r="W86" s="39" t="str">
        <x:v>No</x:v>
      </x:c>
      <x:c r="X86" s="42"/>
      <x:c r="Y86" s="39" t="str">
        <x:v>No aplica</x:v>
      </x:c>
      <x:c r="Z86" s="39" t="n">
        <x:v>0</x:v>
      </x:c>
      <x:c r="AA86" s="39" t="str">
        <x:v>Respondió</x:v>
      </x:c>
      <x:c r="AB86" s="39" t="str">
        <x:v>Sí</x:v>
      </x:c>
      <x:c r="AC86" s="39" t="str">
        <x:v>Sí</x:v>
      </x:c>
      <x:c r="AD86" s="46" t="n">
        <x:f>IF(C86="COMERCIAL",IF(AC86="Sí",40,0)+IF(D86="Recurrente",15,0)+IF(S86="Alto",25,IF(S86="Medio",12,0))+IF(R86&gt;=30000,20,IF(R86&gt;=10000,12,IF(R86&gt;=5000,6,0)))+IF(N86&lt;=Metadatos!$B$13+1,25,0)+IF(AB86="Sí",15,0)+IF(AA86="No responde",-10,0),IF(Y86="Incumplido",40,0)+IF(AND(W86="Sí",X86=Metadatos!$B$13),35,0)+IF(V86&gt;=20000,25,IF(V86&gt;=10000,18,IF(V86&gt;=5000,10,0)))+IF(U86&gt;=15,25,IF(U86&gt;=6,20,IF(U86&gt;=3,10,0)))+IF(Z86&gt;=3,20,IF(Z86&gt;=2,10,0))+IF(AA86="Respondió",-10,0)+IF(AND(Y86="Vigente",X86&gt;Metadatos!$B$13),-10,0))</x:f>
        <x:v>140</x:v>
      </x:c>
      <x:c r="AE86" s="39" t="str">
        <x:f>IF(AD86&gt;=70,"P1",IF(AD86&gt;=50,"P2",IF(AD86&gt;=30,"P3","P4")))</x:f>
        <x:v>P1</x:v>
      </x:c>
      <x:c r="AF86" s="39" t="str">
        <x:v>Operación prevista hoy y cliente recurrente</x:v>
      </x:c>
      <x:c r="AG86" s="39" t="str">
        <x:v>Pendiente</x:v>
      </x:c>
      <x:c r="AH86" s="39" t="str">
        <x:v>https://www.google.com/maps?q=-5.217974,-80.638809</x:v>
      </x:c>
      <x:c r="AI86" s="39" t="str">
        <x:v>SINTÉTICO</x:v>
      </x:c>
    </x:row>
    <x:row r="87">
      <x:c r="A87" s="39" t="str">
        <x:v>CLI-086</x:v>
      </x:c>
      <x:c r="B87" s="39" t="str">
        <x:v>Cliente 086</x:v>
      </x:c>
      <x:c r="C87" s="39" t="str">
        <x:v>COBRANZA</x:v>
      </x:c>
      <x:c r="D87" s="39" t="str">
        <x:v>Deudor</x:v>
      </x:c>
      <x:c r="E87" s="39" t="str">
        <x:v>Cobranza de crédito</x:v>
      </x:c>
      <x:c r="F87" s="39" t="str">
        <x:v>Recuperación</x:v>
      </x:c>
      <x:c r="G87" s="40" t="n">
        <x:v>-5.213784</x:v>
      </x:c>
      <x:c r="H87" s="40" t="n">
        <x:v>-80.637442</x:v>
      </x:c>
      <x:c r="I87" s="39" t="str">
        <x:v>Castilla</x:v>
      </x:c>
      <x:c r="J87" s="39" t="str">
        <x:v>Piura</x:v>
      </x:c>
      <x:c r="K87" s="39" t="str">
        <x:v>AG03</x:v>
      </x:c>
      <x:c r="L87" s="39" t="str">
        <x:v>Mibanco Castilla</x:v>
      </x:c>
      <x:c r="M87" s="41" t="n">
        <x:v>2.84</x:v>
      </x:c>
      <x:c r="N87" s="42" t="n">
        <x:v>46291</x:v>
      </x:c>
      <x:c r="O87" s="43" t="n">
        <x:v>0.3958333333333333</x:v>
      </x:c>
      <x:c r="P87" s="43" t="n">
        <x:v>0.4375</x:v>
      </x:c>
      <x:c r="Q87" s="39" t="n">
        <x:v>35</x:v>
      </x:c>
      <x:c r="R87" s="44" t="n">
        <x:v>0</x:v>
      </x:c>
      <x:c r="S87" s="39" t="str">
        <x:v>No aplica</x:v>
      </x:c>
      <x:c r="T87" s="45" t="n">
        <x:v>0</x:v>
      </x:c>
      <x:c r="U87" s="39" t="n">
        <x:v>1</x:v>
      </x:c>
      <x:c r="V87" s="44" t="n">
        <x:v>13800</x:v>
      </x:c>
      <x:c r="W87" s="39" t="str">
        <x:v>Sí</x:v>
      </x:c>
      <x:c r="X87" s="42" t="n">
        <x:v>46291</x:v>
      </x:c>
      <x:c r="Y87" s="39" t="str">
        <x:v>Vigente</x:v>
      </x:c>
      <x:c r="Z87" s="39" t="n">
        <x:v>4</x:v>
      </x:c>
      <x:c r="AA87" s="39" t="str">
        <x:v>No responde</x:v>
      </x:c>
      <x:c r="AB87" s="39" t="str">
        <x:v>No</x:v>
      </x:c>
      <x:c r="AC87" s="39" t="str">
        <x:v>Sí</x:v>
      </x:c>
      <x:c r="AD87" s="46" t="n">
        <x:f>IF(C87="COMERCIAL",IF(AC87="Sí",40,0)+IF(D87="Recurrente",15,0)+IF(S87="Alto",25,IF(S87="Medio",12,0))+IF(R87&gt;=30000,20,IF(R87&gt;=10000,12,IF(R87&gt;=5000,6,0)))+IF(N87&lt;=Metadatos!$B$13+1,25,0)+IF(AB87="Sí",15,0)+IF(AA87="No responde",-10,0),IF(Y87="Incumplido",40,0)+IF(AND(W87="Sí",X87=Metadatos!$B$13),35,0)+IF(V87&gt;=20000,25,IF(V87&gt;=10000,18,IF(V87&gt;=5000,10,0)))+IF(U87&gt;=15,25,IF(U87&gt;=6,20,IF(U87&gt;=3,10,0)))+IF(Z87&gt;=3,20,IF(Z87&gt;=2,10,0))+IF(AA87="Respondió",-10,0)+IF(AND(Y87="Vigente",X87&gt;Metadatos!$B$13),-10,0))</x:f>
        <x:v>73</x:v>
      </x:c>
      <x:c r="AE87" s="39" t="str">
        <x:f>IF(AD87&gt;=70,"P1",IF(AD87&gt;=50,"P2",IF(AD87&gt;=30,"P3","P4")))</x:f>
        <x:v>P1</x:v>
      </x:c>
      <x:c r="AF87" s="39" t="str">
        <x:v>Compromiso de pago con vencimiento hoy</x:v>
      </x:c>
      <x:c r="AG87" s="39" t="str">
        <x:v>Programada</x:v>
      </x:c>
      <x:c r="AH87" s="39" t="str">
        <x:v>https://www.google.com/maps?q=-5.213784,-80.637442</x:v>
      </x:c>
      <x:c r="AI87" s="39" t="str">
        <x:v>SINTÉTICO</x:v>
      </x:c>
    </x:row>
    <x:row r="88">
      <x:c r="A88" s="39" t="str">
        <x:v>CLI-087</x:v>
      </x:c>
      <x:c r="B88" s="39" t="str">
        <x:v>Cliente 087</x:v>
      </x:c>
      <x:c r="C88" s="39" t="str">
        <x:v>COMERCIAL</x:v>
      </x:c>
      <x:c r="D88" s="39" t="str">
        <x:v>Recurrente</x:v>
      </x:c>
      <x:c r="E88" s="39" t="str">
        <x:v>Capital de trabajo</x:v>
      </x:c>
      <x:c r="F88" s="39" t="str">
        <x:v>Evaluación</x:v>
      </x:c>
      <x:c r="G88" s="40" t="n">
        <x:v>-5.164066</x:v>
      </x:c>
      <x:c r="H88" s="40" t="n">
        <x:v>-80.619981</x:v>
      </x:c>
      <x:c r="I88" s="39" t="str">
        <x:v>Castilla</x:v>
      </x:c>
      <x:c r="J88" s="39" t="str">
        <x:v>Piura</x:v>
      </x:c>
      <x:c r="K88" s="39" t="str">
        <x:v>AG03</x:v>
      </x:c>
      <x:c r="L88" s="39" t="str">
        <x:v>Mibanco Castilla</x:v>
      </x:c>
      <x:c r="M88" s="41" t="n">
        <x:v>3.34</x:v>
      </x:c>
      <x:c r="N88" s="42" t="n">
        <x:v>46292</x:v>
      </x:c>
      <x:c r="O88" s="43" t="n">
        <x:v>0.375</x:v>
      </x:c>
      <x:c r="P88" s="43" t="n">
        <x:v>0.4583333333333333</x:v>
      </x:c>
      <x:c r="Q88" s="39" t="n">
        <x:v>50</x:v>
      </x:c>
      <x:c r="R88" s="44" t="n">
        <x:v>26900</x:v>
      </x:c>
      <x:c r="S88" s="39" t="str">
        <x:v>Alto</x:v>
      </x:c>
      <x:c r="T88" s="45" t="n">
        <x:v>0.89</x:v>
      </x:c>
      <x:c r="U88" s="39" t="n">
        <x:v>0</x:v>
      </x:c>
      <x:c r="V88" s="44" t="n">
        <x:v>0</x:v>
      </x:c>
      <x:c r="W88" s="39" t="str">
        <x:v>No</x:v>
      </x:c>
      <x:c r="X88" s="42"/>
      <x:c r="Y88" s="39" t="str">
        <x:v>No aplica</x:v>
      </x:c>
      <x:c r="Z88" s="39" t="n">
        <x:v>0</x:v>
      </x:c>
      <x:c r="AA88" s="39" t="str">
        <x:v>Respondió</x:v>
      </x:c>
      <x:c r="AB88" s="39" t="str">
        <x:v>Sí</x:v>
      </x:c>
      <x:c r="AC88" s="39" t="str">
        <x:v>No</x:v>
      </x:c>
      <x:c r="AD88" s="46" t="n">
        <x:f>IF(C88="COMERCIAL",IF(AC88="Sí",40,0)+IF(D88="Recurrente",15,0)+IF(S88="Alto",25,IF(S88="Medio",12,0))+IF(R88&gt;=30000,20,IF(R88&gt;=10000,12,IF(R88&gt;=5000,6,0)))+IF(N88&lt;=Metadatos!$B$13+1,25,0)+IF(AB88="Sí",15,0)+IF(AA88="No responde",-10,0),IF(Y88="Incumplido",40,0)+IF(AND(W88="Sí",X88=Metadatos!$B$13),35,0)+IF(V88&gt;=20000,25,IF(V88&gt;=10000,18,IF(V88&gt;=5000,10,0)))+IF(U88&gt;=15,25,IF(U88&gt;=6,20,IF(U88&gt;=3,10,0)))+IF(Z88&gt;=3,20,IF(Z88&gt;=2,10,0))+IF(AA88="Respondió",-10,0)+IF(AND(Y88="Vigente",X88&gt;Metadatos!$B$13),-10,0))</x:f>
        <x:v>92</x:v>
      </x:c>
      <x:c r="AE88" s="39" t="str">
        <x:f>IF(AD88&gt;=70,"P1",IF(AD88&gt;=50,"P2",IF(AD88&gt;=30,"P3","P4")))</x:f>
        <x:v>P1</x:v>
      </x:c>
      <x:c r="AF88" s="39" t="str">
        <x:v>Cliente recurrente con oportunidad activa</x:v>
      </x:c>
      <x:c r="AG88" s="39" t="str">
        <x:v>Pendiente</x:v>
      </x:c>
      <x:c r="AH88" s="39" t="str">
        <x:v>https://www.google.com/maps?q=-5.164066,-80.619981</x:v>
      </x:c>
      <x:c r="AI88" s="39" t="str">
        <x:v>SINTÉTICO</x:v>
      </x:c>
    </x:row>
    <x:row r="89">
      <x:c r="A89" s="39" t="str">
        <x:v>CLI-088</x:v>
      </x:c>
      <x:c r="B89" s="39" t="str">
        <x:v>Cliente 088</x:v>
      </x:c>
      <x:c r="C89" s="39" t="str">
        <x:v>COBRANZA</x:v>
      </x:c>
      <x:c r="D89" s="39" t="str">
        <x:v>Deudor</x:v>
      </x:c>
      <x:c r="E89" s="39" t="str">
        <x:v>Cobranza de crédito</x:v>
      </x:c>
      <x:c r="F89" s="39" t="str">
        <x:v>Recuperación</x:v>
      </x:c>
      <x:c r="G89" s="40" t="n">
        <x:v>-5.163895</x:v>
      </x:c>
      <x:c r="H89" s="40" t="n">
        <x:v>-80.602227</x:v>
      </x:c>
      <x:c r="I89" s="39" t="str">
        <x:v>Castilla</x:v>
      </x:c>
      <x:c r="J89" s="39" t="str">
        <x:v>Piura</x:v>
      </x:c>
      <x:c r="K89" s="39" t="str">
        <x:v>AG03</x:v>
      </x:c>
      <x:c r="L89" s="39" t="str">
        <x:v>Mibanco Castilla</x:v>
      </x:c>
      <x:c r="M89" s="41" t="n">
        <x:v>3.96</x:v>
      </x:c>
      <x:c r="N89" s="42" t="n">
        <x:v>46292</x:v>
      </x:c>
      <x:c r="O89" s="43" t="n">
        <x:v>0.6041666666666666</x:v>
      </x:c>
      <x:c r="P89" s="43" t="n">
        <x:v>0.6875</x:v>
      </x:c>
      <x:c r="Q89" s="39" t="n">
        <x:v>30</x:v>
      </x:c>
      <x:c r="R89" s="44" t="n">
        <x:v>0</x:v>
      </x:c>
      <x:c r="S89" s="39" t="str">
        <x:v>No aplica</x:v>
      </x:c>
      <x:c r="T89" s="45" t="n">
        <x:v>0</x:v>
      </x:c>
      <x:c r="U89" s="39" t="n">
        <x:v>10</x:v>
      </x:c>
      <x:c r="V89" s="44" t="n">
        <x:v>26100</x:v>
      </x:c>
      <x:c r="W89" s="39" t="str">
        <x:v>Sí</x:v>
      </x:c>
      <x:c r="X89" s="42" t="n">
        <x:v>46294</x:v>
      </x:c>
      <x:c r="Y89" s="39" t="str">
        <x:v>Vigente</x:v>
      </x:c>
      <x:c r="Z89" s="39" t="n">
        <x:v>3</x:v>
      </x:c>
      <x:c r="AA89" s="39" t="str">
        <x:v>Respondió</x:v>
      </x:c>
      <x:c r="AB89" s="39" t="str">
        <x:v>No</x:v>
      </x:c>
      <x:c r="AC89" s="39" t="str">
        <x:v>No</x:v>
      </x:c>
      <x:c r="AD89" s="46" t="n">
        <x:f>IF(C89="COMERCIAL",IF(AC89="Sí",40,0)+IF(D89="Recurrente",15,0)+IF(S89="Alto",25,IF(S89="Medio",12,0))+IF(R89&gt;=30000,20,IF(R89&gt;=10000,12,IF(R89&gt;=5000,6,0)))+IF(N89&lt;=Metadatos!$B$13+1,25,0)+IF(AB89="Sí",15,0)+IF(AA89="No responde",-10,0),IF(Y89="Incumplido",40,0)+IF(AND(W89="Sí",X89=Metadatos!$B$13),35,0)+IF(V89&gt;=20000,25,IF(V89&gt;=10000,18,IF(V89&gt;=5000,10,0)))+IF(U89&gt;=15,25,IF(U89&gt;=6,20,IF(U89&gt;=3,10,0)))+IF(Z89&gt;=3,20,IF(Z89&gt;=2,10,0))+IF(AA89="Respondió",-10,0)+IF(AND(Y89="Vigente",X89&gt;Metadatos!$B$13),-10,0))</x:f>
        <x:v>45</x:v>
      </x:c>
      <x:c r="AE89" s="39" t="str">
        <x:f>IF(AD89&gt;=70,"P1",IF(AD89&gt;=50,"P2",IF(AD89&gt;=30,"P3","P4")))</x:f>
        <x:v>P3</x:v>
      </x:c>
      <x:c r="AF89" s="39" t="str">
        <x:v>Varios intentos sin respuesta</x:v>
      </x:c>
      <x:c r="AG89" s="39" t="str">
        <x:v>Pendiente</x:v>
      </x:c>
      <x:c r="AH89" s="39" t="str">
        <x:v>https://www.google.com/maps?q=-5.163895,-80.602227</x:v>
      </x:c>
      <x:c r="AI89" s="39" t="str">
        <x:v>SINTÉTICO</x:v>
      </x:c>
    </x:row>
    <x:row r="90">
      <x:c r="A90" s="39" t="str">
        <x:v>CLI-089</x:v>
      </x:c>
      <x:c r="B90" s="39" t="str">
        <x:v>Cliente 089</x:v>
      </x:c>
      <x:c r="C90" s="39" t="str">
        <x:v>COMERCIAL</x:v>
      </x:c>
      <x:c r="D90" s="39" t="str">
        <x:v>Nuevo</x:v>
      </x:c>
      <x:c r="E90" s="39" t="str">
        <x:v>Crédito personal</x:v>
      </x:c>
      <x:c r="F90" s="39" t="str">
        <x:v>Negociación</x:v>
      </x:c>
      <x:c r="G90" s="40" t="n">
        <x:v>-5.219771</x:v>
      </x:c>
      <x:c r="H90" s="40" t="n">
        <x:v>-80.626223</x:v>
      </x:c>
      <x:c r="I90" s="39" t="str">
        <x:v>Castilla</x:v>
      </x:c>
      <x:c r="J90" s="39" t="str">
        <x:v>Piura</x:v>
      </x:c>
      <x:c r="K90" s="39" t="str">
        <x:v>AG03</x:v>
      </x:c>
      <x:c r="L90" s="39" t="str">
        <x:v>Mibanco Castilla</x:v>
      </x:c>
      <x:c r="M90" s="41" t="n">
        <x:v>2.92</x:v>
      </x:c>
      <x:c r="N90" s="42" t="n">
        <x:v>46294</x:v>
      </x:c>
      <x:c r="O90" s="43" t="n">
        <x:v>0.3541666666666667</x:v>
      </x:c>
      <x:c r="P90" s="43" t="n">
        <x:v>0.4375</x:v>
      </x:c>
      <x:c r="Q90" s="39" t="n">
        <x:v>45</x:v>
      </x:c>
      <x:c r="R90" s="44" t="n">
        <x:v>22100</x:v>
      </x:c>
      <x:c r="S90" s="39" t="str">
        <x:v>Medio</x:v>
      </x:c>
      <x:c r="T90" s="45" t="n">
        <x:v>0.47</x:v>
      </x:c>
      <x:c r="U90" s="39" t="n">
        <x:v>0</x:v>
      </x:c>
      <x:c r="V90" s="44" t="n">
        <x:v>0</x:v>
      </x:c>
      <x:c r="W90" s="39" t="str">
        <x:v>No</x:v>
      </x:c>
      <x:c r="X90" s="42"/>
      <x:c r="Y90" s="39" t="str">
        <x:v>No aplica</x:v>
      </x:c>
      <x:c r="Z90" s="39" t="n">
        <x:v>0</x:v>
      </x:c>
      <x:c r="AA90" s="39" t="str">
        <x:v>Respondió</x:v>
      </x:c>
      <x:c r="AB90" s="39" t="str">
        <x:v>Sí</x:v>
      </x:c>
      <x:c r="AC90" s="39" t="str">
        <x:v>No</x:v>
      </x:c>
      <x:c r="AD90" s="46" t="n">
        <x:f>IF(C90="COMERCIAL",IF(AC90="Sí",40,0)+IF(D90="Recurrente",15,0)+IF(S90="Alto",25,IF(S90="Medio",12,0))+IF(R90&gt;=30000,20,IF(R90&gt;=10000,12,IF(R90&gt;=5000,6,0)))+IF(N90&lt;=Metadatos!$B$13+1,25,0)+IF(AB90="Sí",15,0)+IF(AA90="No responde",-10,0),IF(Y90="Incumplido",40,0)+IF(AND(W90="Sí",X90=Metadatos!$B$13),35,0)+IF(V90&gt;=20000,25,IF(V90&gt;=10000,18,IF(V90&gt;=5000,10,0)))+IF(U90&gt;=15,25,IF(U90&gt;=6,20,IF(U90&gt;=3,10,0)))+IF(Z90&gt;=3,20,IF(Z90&gt;=2,10,0))+IF(AA90="Respondió",-10,0)+IF(AND(Y90="Vigente",X90&gt;Metadatos!$B$13),-10,0))</x:f>
        <x:v>39</x:v>
      </x:c>
      <x:c r="AE90" s="39" t="str">
        <x:f>IF(AD90&gt;=70,"P1",IF(AD90&gt;=50,"P2",IF(AD90&gt;=30,"P3","P4")))</x:f>
        <x:v>P3</x:v>
      </x:c>
      <x:c r="AF90" s="39" t="str">
        <x:v>Interés medio; requiere seguimiento</x:v>
      </x:c>
      <x:c r="AG90" s="39" t="str">
        <x:v>Pendiente</x:v>
      </x:c>
      <x:c r="AH90" s="39" t="str">
        <x:v>https://www.google.com/maps?q=-5.219771,-80.626223</x:v>
      </x:c>
      <x:c r="AI90" s="39" t="str">
        <x:v>SINTÉTICO</x:v>
      </x:c>
    </x:row>
    <x:row r="91">
      <x:c r="A91" s="39" t="str">
        <x:v>CLI-090</x:v>
      </x:c>
      <x:c r="B91" s="39" t="str">
        <x:v>Cliente 090</x:v>
      </x:c>
      <x:c r="C91" s="39" t="str">
        <x:v>COBRANZA</x:v>
      </x:c>
      <x:c r="D91" s="39" t="str">
        <x:v>Deudor</x:v>
      </x:c>
      <x:c r="E91" s="39" t="str">
        <x:v>Cobranza de crédito</x:v>
      </x:c>
      <x:c r="F91" s="39" t="str">
        <x:v>Recuperación</x:v>
      </x:c>
      <x:c r="G91" s="40" t="n">
        <x:v>-5.189796</x:v>
      </x:c>
      <x:c r="H91" s="40" t="n">
        <x:v>-80.613733</x:v>
      </x:c>
      <x:c r="I91" s="39" t="str">
        <x:v>Castilla</x:v>
      </x:c>
      <x:c r="J91" s="39" t="str">
        <x:v>Piura</x:v>
      </x:c>
      <x:c r="K91" s="39" t="str">
        <x:v>AG03</x:v>
      </x:c>
      <x:c r="L91" s="39" t="str">
        <x:v>Mibanco Castilla</x:v>
      </x:c>
      <x:c r="M91" s="41" t="n">
        <x:v>0.95</x:v>
      </x:c>
      <x:c r="N91" s="42" t="n">
        <x:v>46291</x:v>
      </x:c>
      <x:c r="O91" s="43" t="n">
        <x:v>0.3541666666666667</x:v>
      </x:c>
      <x:c r="P91" s="43" t="n">
        <x:v>0.3958333333333333</x:v>
      </x:c>
      <x:c r="Q91" s="39" t="n">
        <x:v>25</x:v>
      </x:c>
      <x:c r="R91" s="44" t="n">
        <x:v>0</x:v>
      </x:c>
      <x:c r="S91" s="39" t="str">
        <x:v>No aplica</x:v>
      </x:c>
      <x:c r="T91" s="45" t="n">
        <x:v>0</x:v>
      </x:c>
      <x:c r="U91" s="39" t="n">
        <x:v>8</x:v>
      </x:c>
      <x:c r="V91" s="44" t="n">
        <x:v>30100</x:v>
      </x:c>
      <x:c r="W91" s="39" t="str">
        <x:v>Sí</x:v>
      </x:c>
      <x:c r="X91" s="42" t="n">
        <x:v>46288</x:v>
      </x:c>
      <x:c r="Y91" s="39" t="str">
        <x:v>Incumplido</x:v>
      </x:c>
      <x:c r="Z91" s="39" t="n">
        <x:v>0</x:v>
      </x:c>
      <x:c r="AA91" s="39" t="str">
        <x:v>No responde</x:v>
      </x:c>
      <x:c r="AB91" s="39" t="str">
        <x:v>No</x:v>
      </x:c>
      <x:c r="AC91" s="39" t="str">
        <x:v>No</x:v>
      </x:c>
      <x:c r="AD91" s="46" t="n">
        <x:f>IF(C91="COMERCIAL",IF(AC91="Sí",40,0)+IF(D91="Recurrente",15,0)+IF(S91="Alto",25,IF(S91="Medio",12,0))+IF(R91&gt;=30000,20,IF(R91&gt;=10000,12,IF(R91&gt;=5000,6,0)))+IF(N91&lt;=Metadatos!$B$13+1,25,0)+IF(AB91="Sí",15,0)+IF(AA91="No responde",-10,0),IF(Y91="Incumplido",40,0)+IF(AND(W91="Sí",X91=Metadatos!$B$13),35,0)+IF(V91&gt;=20000,25,IF(V91&gt;=10000,18,IF(V91&gt;=5000,10,0)))+IF(U91&gt;=15,25,IF(U91&gt;=6,20,IF(U91&gt;=3,10,0)))+IF(Z91&gt;=3,20,IF(Z91&gt;=2,10,0))+IF(AA91="Respondió",-10,0)+IF(AND(Y91="Vigente",X91&gt;Metadatos!$B$13),-10,0))</x:f>
        <x:v>85</x:v>
      </x:c>
      <x:c r="AE91" s="39" t="str">
        <x:f>IF(AD91&gt;=70,"P1",IF(AD91&gt;=50,"P2",IF(AD91&gt;=30,"P3","P4")))</x:f>
        <x:v>P1</x:v>
      </x:c>
      <x:c r="AF91" s="39" t="str">
        <x:v>Compromiso incumplido y cliente sin respuesta</x:v>
      </x:c>
      <x:c r="AG91" s="39" t="str">
        <x:v>Pendiente</x:v>
      </x:c>
      <x:c r="AH91" s="39" t="str">
        <x:v>https://www.google.com/maps?q=-5.189796,-80.613733</x:v>
      </x:c>
      <x:c r="AI91" s="39" t="str">
        <x:v>SINTÉTICO</x:v>
      </x:c>
    </x:row>
    <x:row r="92">
      <x:c r="A92" s="39" t="str">
        <x:v>CLI-091</x:v>
      </x:c>
      <x:c r="B92" s="39" t="str">
        <x:v>Cliente 091</x:v>
      </x:c>
      <x:c r="C92" s="39" t="str">
        <x:v>COMERCIAL</x:v>
      </x:c>
      <x:c r="D92" s="39" t="str">
        <x:v>Recurrente</x:v>
      </x:c>
      <x:c r="E92" s="39" t="str">
        <x:v>Capital de trabajo</x:v>
      </x:c>
      <x:c r="F92" s="39" t="str">
        <x:v>Contactado</x:v>
      </x:c>
      <x:c r="G92" s="40" t="n">
        <x:v>-5.225694</x:v>
      </x:c>
      <x:c r="H92" s="40" t="n">
        <x:v>-80.636466</x:v>
      </x:c>
      <x:c r="I92" s="39" t="str">
        <x:v>Castilla</x:v>
      </x:c>
      <x:c r="J92" s="39" t="str">
        <x:v>Piura</x:v>
      </x:c>
      <x:c r="K92" s="39" t="str">
        <x:v>AG03</x:v>
      </x:c>
      <x:c r="L92" s="39" t="str">
        <x:v>Mibanco Castilla</x:v>
      </x:c>
      <x:c r="M92" s="41" t="n">
        <x:v>3.91</x:v>
      </x:c>
      <x:c r="N92" s="42" t="n">
        <x:v>46293</x:v>
      </x:c>
      <x:c r="O92" s="43" t="n">
        <x:v>0.4375</x:v>
      </x:c>
      <x:c r="P92" s="43" t="n">
        <x:v>0.5</x:v>
      </x:c>
      <x:c r="Q92" s="39" t="n">
        <x:v>30</x:v>
      </x:c>
      <x:c r="R92" s="44" t="n">
        <x:v>43300</x:v>
      </x:c>
      <x:c r="S92" s="39" t="str">
        <x:v>Bajo</x:v>
      </x:c>
      <x:c r="T92" s="45" t="n">
        <x:v>0.3</x:v>
      </x:c>
      <x:c r="U92" s="39" t="n">
        <x:v>0</x:v>
      </x:c>
      <x:c r="V92" s="44" t="n">
        <x:v>0</x:v>
      </x:c>
      <x:c r="W92" s="39" t="str">
        <x:v>No</x:v>
      </x:c>
      <x:c r="X92" s="42"/>
      <x:c r="Y92" s="39" t="str">
        <x:v>No aplica</x:v>
      </x:c>
      <x:c r="Z92" s="39" t="n">
        <x:v>0</x:v>
      </x:c>
      <x:c r="AA92" s="39" t="str">
        <x:v>Respondió</x:v>
      </x:c>
      <x:c r="AB92" s="39" t="str">
        <x:v>No</x:v>
      </x:c>
      <x:c r="AC92" s="39" t="str">
        <x:v>No</x:v>
      </x:c>
      <x:c r="AD92" s="46" t="n">
        <x:f>IF(C92="COMERCIAL",IF(AC92="Sí",40,0)+IF(D92="Recurrente",15,0)+IF(S92="Alto",25,IF(S92="Medio",12,0))+IF(R92&gt;=30000,20,IF(R92&gt;=10000,12,IF(R92&gt;=5000,6,0)))+IF(N92&lt;=Metadatos!$B$13+1,25,0)+IF(AB92="Sí",15,0)+IF(AA92="No responde",-10,0),IF(Y92="Incumplido",40,0)+IF(AND(W92="Sí",X92=Metadatos!$B$13),35,0)+IF(V92&gt;=20000,25,IF(V92&gt;=10000,18,IF(V92&gt;=5000,10,0)))+IF(U92&gt;=15,25,IF(U92&gt;=6,20,IF(U92&gt;=3,10,0)))+IF(Z92&gt;=3,20,IF(Z92&gt;=2,10,0))+IF(AA92="Respondió",-10,0)+IF(AND(Y92="Vigente",X92&gt;Metadatos!$B$13),-10,0))</x:f>
        <x:v>35</x:v>
      </x:c>
      <x:c r="AE92" s="39" t="str">
        <x:f>IF(AD92&gt;=70,"P1",IF(AD92&gt;=50,"P2",IF(AD92&gt;=30,"P3","P4")))</x:f>
        <x:v>P3</x:v>
      </x:c>
      <x:c r="AF92" s="39" t="str">
        <x:v>Prospecto sin urgencia inmediata</x:v>
      </x:c>
      <x:c r="AG92" s="39" t="str">
        <x:v>Programada</x:v>
      </x:c>
      <x:c r="AH92" s="39" t="str">
        <x:v>https://www.google.com/maps?q=-5.225694,-80.636466</x:v>
      </x:c>
      <x:c r="AI92" s="39" t="str">
        <x:v>SINTÉTICO</x:v>
      </x:c>
    </x:row>
    <x:row r="93">
      <x:c r="A93" s="39" t="str">
        <x:v>CLI-092</x:v>
      </x:c>
      <x:c r="B93" s="39" t="str">
        <x:v>Cliente 092</x:v>
      </x:c>
      <x:c r="C93" s="39" t="str">
        <x:v>COBRANZA</x:v>
      </x:c>
      <x:c r="D93" s="39" t="str">
        <x:v>Deudor</x:v>
      </x:c>
      <x:c r="E93" s="39" t="str">
        <x:v>Cobranza de crédito</x:v>
      </x:c>
      <x:c r="F93" s="39" t="str">
        <x:v>Recuperación</x:v>
      </x:c>
      <x:c r="G93" s="40" t="n">
        <x:v>-5.167492</x:v>
      </x:c>
      <x:c r="H93" s="40" t="n">
        <x:v>-80.639054</x:v>
      </x:c>
      <x:c r="I93" s="39" t="str">
        <x:v>Castilla</x:v>
      </x:c>
      <x:c r="J93" s="39" t="str">
        <x:v>Piura</x:v>
      </x:c>
      <x:c r="K93" s="39" t="str">
        <x:v>AG03</x:v>
      </x:c>
      <x:c r="L93" s="39" t="str">
        <x:v>Mibanco Castilla</x:v>
      </x:c>
      <x:c r="M93" s="41" t="n">
        <x:v>3.55</x:v>
      </x:c>
      <x:c r="N93" s="42" t="n">
        <x:v>46292</x:v>
      </x:c>
      <x:c r="O93" s="43" t="n">
        <x:v>0.5833333333333334</x:v>
      </x:c>
      <x:c r="P93" s="43" t="n">
        <x:v>0.6458333333333334</x:v>
      </x:c>
      <x:c r="Q93" s="39" t="n">
        <x:v>40</x:v>
      </x:c>
      <x:c r="R93" s="44" t="n">
        <x:v>0</x:v>
      </x:c>
      <x:c r="S93" s="39" t="str">
        <x:v>No aplica</x:v>
      </x:c>
      <x:c r="T93" s="45" t="n">
        <x:v>0</x:v>
      </x:c>
      <x:c r="U93" s="39" t="n">
        <x:v>7</x:v>
      </x:c>
      <x:c r="V93" s="44" t="n">
        <x:v>16300</x:v>
      </x:c>
      <x:c r="W93" s="39" t="str">
        <x:v>No</x:v>
      </x:c>
      <x:c r="X93" s="42"/>
      <x:c r="Y93" s="39" t="str">
        <x:v>Sin compromiso</x:v>
      </x:c>
      <x:c r="Z93" s="39" t="n">
        <x:v>2</x:v>
      </x:c>
      <x:c r="AA93" s="39" t="str">
        <x:v>Respondió</x:v>
      </x:c>
      <x:c r="AB93" s="39" t="str">
        <x:v>No</x:v>
      </x:c>
      <x:c r="AC93" s="39" t="str">
        <x:v>No</x:v>
      </x:c>
      <x:c r="AD93" s="46" t="n">
        <x:f>IF(C93="COMERCIAL",IF(AC93="Sí",40,0)+IF(D93="Recurrente",15,0)+IF(S93="Alto",25,IF(S93="Medio",12,0))+IF(R93&gt;=30000,20,IF(R93&gt;=10000,12,IF(R93&gt;=5000,6,0)))+IF(N93&lt;=Metadatos!$B$13+1,25,0)+IF(AB93="Sí",15,0)+IF(AA93="No responde",-10,0),IF(Y93="Incumplido",40,0)+IF(AND(W93="Sí",X93=Metadatos!$B$13),35,0)+IF(V93&gt;=20000,25,IF(V93&gt;=10000,18,IF(V93&gt;=5000,10,0)))+IF(U93&gt;=15,25,IF(U93&gt;=6,20,IF(U93&gt;=3,10,0)))+IF(Z93&gt;=3,20,IF(Z93&gt;=2,10,0))+IF(AA93="Respondió",-10,0)+IF(AND(Y93="Vigente",X93&gt;Metadatos!$B$13),-10,0))</x:f>
        <x:v>38</x:v>
      </x:c>
      <x:c r="AE93" s="39" t="str">
        <x:f>IF(AD93&gt;=70,"P1",IF(AD93&gt;=50,"P2",IF(AD93&gt;=30,"P3","P4")))</x:f>
        <x:v>P3</x:v>
      </x:c>
      <x:c r="AF93" s="39" t="str">
        <x:v>Seguimiento por días de mora</x:v>
      </x:c>
      <x:c r="AG93" s="39" t="str">
        <x:v>Pendiente</x:v>
      </x:c>
      <x:c r="AH93" s="39" t="str">
        <x:v>https://www.google.com/maps?q=-5.167492,-80.639054</x:v>
      </x:c>
      <x:c r="AI93" s="39" t="str">
        <x:v>SINTÉTICO</x:v>
      </x:c>
    </x:row>
    <x:row r="94">
      <x:c r="A94" s="39" t="str">
        <x:v>CLI-093</x:v>
      </x:c>
      <x:c r="B94" s="39" t="str">
        <x:v>Cliente 093</x:v>
      </x:c>
      <x:c r="C94" s="39" t="str">
        <x:v>COMERCIAL</x:v>
      </x:c>
      <x:c r="D94" s="39" t="str">
        <x:v>Recurrente</x:v>
      </x:c>
      <x:c r="E94" s="39" t="str">
        <x:v>Seguro</x:v>
      </x:c>
      <x:c r="F94" s="39" t="str">
        <x:v>Negociación</x:v>
      </x:c>
      <x:c r="G94" s="40" t="n">
        <x:v>-5.193416</x:v>
      </x:c>
      <x:c r="H94" s="40" t="n">
        <x:v>-80.638875</x:v>
      </x:c>
      <x:c r="I94" s="39" t="str">
        <x:v>Castilla</x:v>
      </x:c>
      <x:c r="J94" s="39" t="str">
        <x:v>Piura</x:v>
      </x:c>
      <x:c r="K94" s="39" t="str">
        <x:v>AG03</x:v>
      </x:c>
      <x:c r="L94" s="39" t="str">
        <x:v>Mibanco Castilla</x:v>
      </x:c>
      <x:c r="M94" s="41" t="n">
        <x:v>1.96</x:v>
      </x:c>
      <x:c r="N94" s="42" t="n">
        <x:v>46291</x:v>
      </x:c>
      <x:c r="O94" s="43" t="n">
        <x:v>0.5208333333333334</x:v>
      </x:c>
      <x:c r="P94" s="43" t="n">
        <x:v>0.5625</x:v>
      </x:c>
      <x:c r="Q94" s="39" t="n">
        <x:v>40</x:v>
      </x:c>
      <x:c r="R94" s="44" t="n">
        <x:v>32000</x:v>
      </x:c>
      <x:c r="S94" s="39" t="str">
        <x:v>Alto</x:v>
      </x:c>
      <x:c r="T94" s="45" t="n">
        <x:v>0.74</x:v>
      </x:c>
      <x:c r="U94" s="39" t="n">
        <x:v>0</x:v>
      </x:c>
      <x:c r="V94" s="44" t="n">
        <x:v>0</x:v>
      </x:c>
      <x:c r="W94" s="39" t="str">
        <x:v>No</x:v>
      </x:c>
      <x:c r="X94" s="42"/>
      <x:c r="Y94" s="39" t="str">
        <x:v>No aplica</x:v>
      </x:c>
      <x:c r="Z94" s="39" t="n">
        <x:v>0</x:v>
      </x:c>
      <x:c r="AA94" s="39" t="str">
        <x:v>Respondió</x:v>
      </x:c>
      <x:c r="AB94" s="39" t="str">
        <x:v>Sí</x:v>
      </x:c>
      <x:c r="AC94" s="39" t="str">
        <x:v>Sí</x:v>
      </x:c>
      <x:c r="AD94" s="46" t="n">
        <x:f>IF(C94="COMERCIAL",IF(AC94="Sí",40,0)+IF(D94="Recurrente",15,0)+IF(S94="Alto",25,IF(S94="Medio",12,0))+IF(R94&gt;=30000,20,IF(R94&gt;=10000,12,IF(R94&gt;=5000,6,0)))+IF(N94&lt;=Metadatos!$B$13+1,25,0)+IF(AB94="Sí",15,0)+IF(AA94="No responde",-10,0),IF(Y94="Incumplido",40,0)+IF(AND(W94="Sí",X94=Metadatos!$B$13),35,0)+IF(V94&gt;=20000,25,IF(V94&gt;=10000,18,IF(V94&gt;=5000,10,0)))+IF(U94&gt;=15,25,IF(U94&gt;=6,20,IF(U94&gt;=3,10,0)))+IF(Z94&gt;=3,20,IF(Z94&gt;=2,10,0))+IF(AA94="Respondió",-10,0)+IF(AND(Y94="Vigente",X94&gt;Metadatos!$B$13),-10,0))</x:f>
        <x:v>140</x:v>
      </x:c>
      <x:c r="AE94" s="39" t="str">
        <x:f>IF(AD94&gt;=70,"P1",IF(AD94&gt;=50,"P2",IF(AD94&gt;=30,"P3","P4")))</x:f>
        <x:v>P1</x:v>
      </x:c>
      <x:c r="AF94" s="39" t="str">
        <x:v>Operación prevista hoy y cliente recurrente</x:v>
      </x:c>
      <x:c r="AG94" s="39" t="str">
        <x:v>Pendiente</x:v>
      </x:c>
      <x:c r="AH94" s="39" t="str">
        <x:v>https://www.google.com/maps?q=-5.193416,-80.638875</x:v>
      </x:c>
      <x:c r="AI94" s="39" t="str">
        <x:v>SINTÉTICO</x:v>
      </x:c>
    </x:row>
    <x:row r="95">
      <x:c r="A95" s="39" t="str">
        <x:v>CLI-094</x:v>
      </x:c>
      <x:c r="B95" s="39" t="str">
        <x:v>Cliente 094</x:v>
      </x:c>
      <x:c r="C95" s="39" t="str">
        <x:v>COBRANZA</x:v>
      </x:c>
      <x:c r="D95" s="39" t="str">
        <x:v>Deudor</x:v>
      </x:c>
      <x:c r="E95" s="39" t="str">
        <x:v>Cobranza de crédito</x:v>
      </x:c>
      <x:c r="F95" s="39" t="str">
        <x:v>Recuperación</x:v>
      </x:c>
      <x:c r="G95" s="40" t="n">
        <x:v>-5.230358</x:v>
      </x:c>
      <x:c r="H95" s="40" t="n">
        <x:v>-80.617198</x:v>
      </x:c>
      <x:c r="I95" s="39" t="str">
        <x:v>Castilla</x:v>
      </x:c>
      <x:c r="J95" s="39" t="str">
        <x:v>Piura</x:v>
      </x:c>
      <x:c r="K95" s="39" t="str">
        <x:v>AG03</x:v>
      </x:c>
      <x:c r="L95" s="39" t="str">
        <x:v>Mibanco Castilla</x:v>
      </x:c>
      <x:c r="M95" s="41" t="n">
        <x:v>4.07</x:v>
      </x:c>
      <x:c r="N95" s="42" t="n">
        <x:v>46291</x:v>
      </x:c>
      <x:c r="O95" s="43" t="n">
        <x:v>0.5208333333333334</x:v>
      </x:c>
      <x:c r="P95" s="43" t="n">
        <x:v>0.6041666666666666</x:v>
      </x:c>
      <x:c r="Q95" s="39" t="n">
        <x:v>35</x:v>
      </x:c>
      <x:c r="R95" s="44" t="n">
        <x:v>0</x:v>
      </x:c>
      <x:c r="S95" s="39" t="str">
        <x:v>No aplica</x:v>
      </x:c>
      <x:c r="T95" s="45" t="n">
        <x:v>0</x:v>
      </x:c>
      <x:c r="U95" s="39" t="n">
        <x:v>10</x:v>
      </x:c>
      <x:c r="V95" s="44" t="n">
        <x:v>20100</x:v>
      </x:c>
      <x:c r="W95" s="39" t="str">
        <x:v>Sí</x:v>
      </x:c>
      <x:c r="X95" s="42" t="n">
        <x:v>46291</x:v>
      </x:c>
      <x:c r="Y95" s="39" t="str">
        <x:v>Vigente</x:v>
      </x:c>
      <x:c r="Z95" s="39" t="n">
        <x:v>4</x:v>
      </x:c>
      <x:c r="AA95" s="39" t="str">
        <x:v>No responde</x:v>
      </x:c>
      <x:c r="AB95" s="39" t="str">
        <x:v>No</x:v>
      </x:c>
      <x:c r="AC95" s="39" t="str">
        <x:v>Sí</x:v>
      </x:c>
      <x:c r="AD95" s="46" t="n">
        <x:f>IF(C95="COMERCIAL",IF(AC95="Sí",40,0)+IF(D95="Recurrente",15,0)+IF(S95="Alto",25,IF(S95="Medio",12,0))+IF(R95&gt;=30000,20,IF(R95&gt;=10000,12,IF(R95&gt;=5000,6,0)))+IF(N95&lt;=Metadatos!$B$13+1,25,0)+IF(AB95="Sí",15,0)+IF(AA95="No responde",-10,0),IF(Y95="Incumplido",40,0)+IF(AND(W95="Sí",X95=Metadatos!$B$13),35,0)+IF(V95&gt;=20000,25,IF(V95&gt;=10000,18,IF(V95&gt;=5000,10,0)))+IF(U95&gt;=15,25,IF(U95&gt;=6,20,IF(U95&gt;=3,10,0)))+IF(Z95&gt;=3,20,IF(Z95&gt;=2,10,0))+IF(AA95="Respondió",-10,0)+IF(AND(Y95="Vigente",X95&gt;Metadatos!$B$13),-10,0))</x:f>
        <x:v>100</x:v>
      </x:c>
      <x:c r="AE95" s="39" t="str">
        <x:f>IF(AD95&gt;=70,"P1",IF(AD95&gt;=50,"P2",IF(AD95&gt;=30,"P3","P4")))</x:f>
        <x:v>P1</x:v>
      </x:c>
      <x:c r="AF95" s="39" t="str">
        <x:v>Compromiso de pago con vencimiento hoy</x:v>
      </x:c>
      <x:c r="AG95" s="39" t="str">
        <x:v>Pendiente</x:v>
      </x:c>
      <x:c r="AH95" s="39" t="str">
        <x:v>https://www.google.com/maps?q=-5.230358,-80.617198</x:v>
      </x:c>
      <x:c r="AI95" s="39" t="str">
        <x:v>SINTÉTICO</x:v>
      </x:c>
    </x:row>
    <x:row r="96">
      <x:c r="A96" s="39" t="str">
        <x:v>CLI-095</x:v>
      </x:c>
      <x:c r="B96" s="39" t="str">
        <x:v>Cliente 095</x:v>
      </x:c>
      <x:c r="C96" s="39" t="str">
        <x:v>COMERCIAL</x:v>
      </x:c>
      <x:c r="D96" s="39" t="str">
        <x:v>Recurrente</x:v>
      </x:c>
      <x:c r="E96" s="39" t="str">
        <x:v>Capital de trabajo</x:v>
      </x:c>
      <x:c r="F96" s="39" t="str">
        <x:v>Evaluación</x:v>
      </x:c>
      <x:c r="G96" s="40" t="n">
        <x:v>-5.215708</x:v>
      </x:c>
      <x:c r="H96" s="40" t="n">
        <x:v>-80.591349</x:v>
      </x:c>
      <x:c r="I96" s="39" t="str">
        <x:v>Castilla</x:v>
      </x:c>
      <x:c r="J96" s="39" t="str">
        <x:v>Piura</x:v>
      </x:c>
      <x:c r="K96" s="39" t="str">
        <x:v>AG03</x:v>
      </x:c>
      <x:c r="L96" s="39" t="str">
        <x:v>Mibanco Castilla</x:v>
      </x:c>
      <x:c r="M96" s="41" t="n">
        <x:v>4.1</x:v>
      </x:c>
      <x:c r="N96" s="42" t="n">
        <x:v>46294</x:v>
      </x:c>
      <x:c r="O96" s="43" t="n">
        <x:v>0.4375</x:v>
      </x:c>
      <x:c r="P96" s="43" t="n">
        <x:v>0.4791666666666667</x:v>
      </x:c>
      <x:c r="Q96" s="39" t="n">
        <x:v>50</x:v>
      </x:c>
      <x:c r="R96" s="44" t="n">
        <x:v>25900</x:v>
      </x:c>
      <x:c r="S96" s="39" t="str">
        <x:v>Medio</x:v>
      </x:c>
      <x:c r="T96" s="45" t="n">
        <x:v>0.58</x:v>
      </x:c>
      <x:c r="U96" s="39" t="n">
        <x:v>0</x:v>
      </x:c>
      <x:c r="V96" s="44" t="n">
        <x:v>0</x:v>
      </x:c>
      <x:c r="W96" s="39" t="str">
        <x:v>No</x:v>
      </x:c>
      <x:c r="X96" s="42"/>
      <x:c r="Y96" s="39" t="str">
        <x:v>No aplica</x:v>
      </x:c>
      <x:c r="Z96" s="39" t="n">
        <x:v>0</x:v>
      </x:c>
      <x:c r="AA96" s="39" t="str">
        <x:v>Respondió</x:v>
      </x:c>
      <x:c r="AB96" s="39" t="str">
        <x:v>Sí</x:v>
      </x:c>
      <x:c r="AC96" s="39" t="str">
        <x:v>No</x:v>
      </x:c>
      <x:c r="AD96" s="46" t="n">
        <x:f>IF(C96="COMERCIAL",IF(AC96="Sí",40,0)+IF(D96="Recurrente",15,0)+IF(S96="Alto",25,IF(S96="Medio",12,0))+IF(R96&gt;=30000,20,IF(R96&gt;=10000,12,IF(R96&gt;=5000,6,0)))+IF(N96&lt;=Metadatos!$B$13+1,25,0)+IF(AB96="Sí",15,0)+IF(AA96="No responde",-10,0),IF(Y96="Incumplido",40,0)+IF(AND(W96="Sí",X96=Metadatos!$B$13),35,0)+IF(V96&gt;=20000,25,IF(V96&gt;=10000,18,IF(V96&gt;=5000,10,0)))+IF(U96&gt;=15,25,IF(U96&gt;=6,20,IF(U96&gt;=3,10,0)))+IF(Z96&gt;=3,20,IF(Z96&gt;=2,10,0))+IF(AA96="Respondió",-10,0)+IF(AND(Y96="Vigente",X96&gt;Metadatos!$B$13),-10,0))</x:f>
        <x:v>54</x:v>
      </x:c>
      <x:c r="AE96" s="39" t="str">
        <x:f>IF(AD96&gt;=70,"P1",IF(AD96&gt;=50,"P2",IF(AD96&gt;=30,"P3","P4")))</x:f>
        <x:v>P2</x:v>
      </x:c>
      <x:c r="AF96" s="39" t="str">
        <x:v>Cliente recurrente con oportunidad activa</x:v>
      </x:c>
      <x:c r="AG96" s="39" t="str">
        <x:v>Pendiente</x:v>
      </x:c>
      <x:c r="AH96" s="39" t="str">
        <x:v>https://www.google.com/maps?q=-5.215708,-80.591349</x:v>
      </x:c>
      <x:c r="AI96" s="39" t="str">
        <x:v>SINTÉTICO</x:v>
      </x:c>
    </x:row>
    <x:row r="97">
      <x:c r="A97" s="39" t="str">
        <x:v>CLI-096</x:v>
      </x:c>
      <x:c r="B97" s="39" t="str">
        <x:v>Cliente 096</x:v>
      </x:c>
      <x:c r="C97" s="39" t="str">
        <x:v>COBRANZA</x:v>
      </x:c>
      <x:c r="D97" s="39" t="str">
        <x:v>Deudor</x:v>
      </x:c>
      <x:c r="E97" s="39" t="str">
        <x:v>Cobranza de crédito</x:v>
      </x:c>
      <x:c r="F97" s="39" t="str">
        <x:v>Recuperación</x:v>
      </x:c>
      <x:c r="G97" s="40" t="n">
        <x:v>-5.220752</x:v>
      </x:c>
      <x:c r="H97" s="40" t="n">
        <x:v>-80.599765</x:v>
      </x:c>
      <x:c r="I97" s="39" t="str">
        <x:v>Castilla</x:v>
      </x:c>
      <x:c r="J97" s="39" t="str">
        <x:v>Piura</x:v>
      </x:c>
      <x:c r="K97" s="39" t="str">
        <x:v>AG03</x:v>
      </x:c>
      <x:c r="L97" s="39" t="str">
        <x:v>Mibanco Castilla</x:v>
      </x:c>
      <x:c r="M97" s="41" t="n">
        <x:v>3.81</x:v>
      </x:c>
      <x:c r="N97" s="42" t="n">
        <x:v>46291</x:v>
      </x:c>
      <x:c r="O97" s="43" t="n">
        <x:v>0.5</x:v>
      </x:c>
      <x:c r="P97" s="43" t="n">
        <x:v>0.5416666666666666</x:v>
      </x:c>
      <x:c r="Q97" s="39" t="n">
        <x:v>60</x:v>
      </x:c>
      <x:c r="R97" s="44" t="n">
        <x:v>0</x:v>
      </x:c>
      <x:c r="S97" s="39" t="str">
        <x:v>No aplica</x:v>
      </x:c>
      <x:c r="T97" s="45" t="n">
        <x:v>0</x:v>
      </x:c>
      <x:c r="U97" s="39" t="n">
        <x:v>5</x:v>
      </x:c>
      <x:c r="V97" s="44" t="n">
        <x:v>18600</x:v>
      </x:c>
      <x:c r="W97" s="39" t="str">
        <x:v>Sí</x:v>
      </x:c>
      <x:c r="X97" s="42" t="n">
        <x:v>46288</x:v>
      </x:c>
      <x:c r="Y97" s="39" t="str">
        <x:v>Incumplido</x:v>
      </x:c>
      <x:c r="Z97" s="39" t="n">
        <x:v>0</x:v>
      </x:c>
      <x:c r="AA97" s="39" t="str">
        <x:v>No responde</x:v>
      </x:c>
      <x:c r="AB97" s="39" t="str">
        <x:v>No</x:v>
      </x:c>
      <x:c r="AC97" s="39" t="str">
        <x:v>No</x:v>
      </x:c>
      <x:c r="AD97" s="46" t="n">
        <x:f>IF(C97="COMERCIAL",IF(AC97="Sí",40,0)+IF(D97="Recurrente",15,0)+IF(S97="Alto",25,IF(S97="Medio",12,0))+IF(R97&gt;=30000,20,IF(R97&gt;=10000,12,IF(R97&gt;=5000,6,0)))+IF(N97&lt;=Metadatos!$B$13+1,25,0)+IF(AB97="Sí",15,0)+IF(AA97="No responde",-10,0),IF(Y97="Incumplido",40,0)+IF(AND(W97="Sí",X97=Metadatos!$B$13),35,0)+IF(V97&gt;=20000,25,IF(V97&gt;=10000,18,IF(V97&gt;=5000,10,0)))+IF(U97&gt;=15,25,IF(U97&gt;=6,20,IF(U97&gt;=3,10,0)))+IF(Z97&gt;=3,20,IF(Z97&gt;=2,10,0))+IF(AA97="Respondió",-10,0)+IF(AND(Y97="Vigente",X97&gt;Metadatos!$B$13),-10,0))</x:f>
        <x:v>68</x:v>
      </x:c>
      <x:c r="AE97" s="39" t="str">
        <x:f>IF(AD97&gt;=70,"P1",IF(AD97&gt;=50,"P2",IF(AD97&gt;=30,"P3","P4")))</x:f>
        <x:v>P2</x:v>
      </x:c>
      <x:c r="AF97" s="39" t="str">
        <x:v>Compromiso incumplido y cliente sin respuesta</x:v>
      </x:c>
      <x:c r="AG97" s="39" t="str">
        <x:v>Pendiente</x:v>
      </x:c>
      <x:c r="AH97" s="39" t="str">
        <x:v>https://www.google.com/maps?q=-5.220752,-80.599765</x:v>
      </x:c>
      <x:c r="AI97" s="39" t="str">
        <x:v>SINTÉTICO</x:v>
      </x:c>
    </x:row>
    <x:row r="98">
      <x:c r="A98" s="39" t="str">
        <x:v>CLI-097</x:v>
      </x:c>
      <x:c r="B98" s="39" t="str">
        <x:v>Cliente 097</x:v>
      </x:c>
      <x:c r="C98" s="39" t="str">
        <x:v>COMERCIAL</x:v>
      </x:c>
      <x:c r="D98" s="39" t="str">
        <x:v>Nuevo</x:v>
      </x:c>
      <x:c r="E98" s="39" t="str">
        <x:v>Crédito para negocio</x:v>
      </x:c>
      <x:c r="F98" s="39" t="str">
        <x:v>Prospecto</x:v>
      </x:c>
      <x:c r="G98" s="40" t="n">
        <x:v>-5.178117</x:v>
      </x:c>
      <x:c r="H98" s="40" t="n">
        <x:v>-80.632741</x:v>
      </x:c>
      <x:c r="I98" s="39" t="str">
        <x:v>Castilla</x:v>
      </x:c>
      <x:c r="J98" s="39" t="str">
        <x:v>Piura</x:v>
      </x:c>
      <x:c r="K98" s="39" t="str">
        <x:v>AG03</x:v>
      </x:c>
      <x:c r="L98" s="39" t="str">
        <x:v>Mibanco Castilla</x:v>
      </x:c>
      <x:c r="M98" s="41" t="n">
        <x:v>2.18</x:v>
      </x:c>
      <x:c r="N98" s="42" t="n">
        <x:v>46296</x:v>
      </x:c>
      <x:c r="O98" s="43" t="n">
        <x:v>0.375</x:v>
      </x:c>
      <x:c r="P98" s="43" t="n">
        <x:v>0.4583333333333333</x:v>
      </x:c>
      <x:c r="Q98" s="39" t="n">
        <x:v>40</x:v>
      </x:c>
      <x:c r="R98" s="44" t="n">
        <x:v>48900</x:v>
      </x:c>
      <x:c r="S98" s="39" t="str">
        <x:v>Bajo</x:v>
      </x:c>
      <x:c r="T98" s="45" t="n">
        <x:v>0.19</x:v>
      </x:c>
      <x:c r="U98" s="39" t="n">
        <x:v>0</x:v>
      </x:c>
      <x:c r="V98" s="44" t="n">
        <x:v>0</x:v>
      </x:c>
      <x:c r="W98" s="39" t="str">
        <x:v>No</x:v>
      </x:c>
      <x:c r="X98" s="42"/>
      <x:c r="Y98" s="39" t="str">
        <x:v>No aplica</x:v>
      </x:c>
      <x:c r="Z98" s="39" t="n">
        <x:v>0</x:v>
      </x:c>
      <x:c r="AA98" s="39" t="str">
        <x:v>Respondió</x:v>
      </x:c>
      <x:c r="AB98" s="39" t="str">
        <x:v>No</x:v>
      </x:c>
      <x:c r="AC98" s="39" t="str">
        <x:v>No</x:v>
      </x:c>
      <x:c r="AD98" s="46" t="n">
        <x:f>IF(C98="COMERCIAL",IF(AC98="Sí",40,0)+IF(D98="Recurrente",15,0)+IF(S98="Alto",25,IF(S98="Medio",12,0))+IF(R98&gt;=30000,20,IF(R98&gt;=10000,12,IF(R98&gt;=5000,6,0)))+IF(N98&lt;=Metadatos!$B$13+1,25,0)+IF(AB98="Sí",15,0)+IF(AA98="No responde",-10,0),IF(Y98="Incumplido",40,0)+IF(AND(W98="Sí",X98=Metadatos!$B$13),35,0)+IF(V98&gt;=20000,25,IF(V98&gt;=10000,18,IF(V98&gt;=5000,10,0)))+IF(U98&gt;=15,25,IF(U98&gt;=6,20,IF(U98&gt;=3,10,0)))+IF(Z98&gt;=3,20,IF(Z98&gt;=2,10,0))+IF(AA98="Respondió",-10,0)+IF(AND(Y98="Vigente",X98&gt;Metadatos!$B$13),-10,0))</x:f>
        <x:v>20</x:v>
      </x:c>
      <x:c r="AE98" s="39" t="str">
        <x:f>IF(AD98&gt;=70,"P1",IF(AD98&gt;=50,"P2",IF(AD98&gt;=30,"P3","P4")))</x:f>
        <x:v>P4</x:v>
      </x:c>
      <x:c r="AF98" s="39" t="str">
        <x:v>Prospecto sin urgencia inmediata</x:v>
      </x:c>
      <x:c r="AG98" s="39" t="str">
        <x:v>Pendiente</x:v>
      </x:c>
      <x:c r="AH98" s="39" t="str">
        <x:v>https://www.google.com/maps?q=-5.178117,-80.632741</x:v>
      </x:c>
      <x:c r="AI98" s="39" t="str">
        <x:v>SINTÉTICO</x:v>
      </x:c>
    </x:row>
    <x:row r="99">
      <x:c r="A99" s="39" t="str">
        <x:v>CLI-098</x:v>
      </x:c>
      <x:c r="B99" s="39" t="str">
        <x:v>Cliente 098</x:v>
      </x:c>
      <x:c r="C99" s="39" t="str">
        <x:v>COBRANZA</x:v>
      </x:c>
      <x:c r="D99" s="39" t="str">
        <x:v>Deudor</x:v>
      </x:c>
      <x:c r="E99" s="39" t="str">
        <x:v>Cobranza de crédito</x:v>
      </x:c>
      <x:c r="F99" s="39" t="str">
        <x:v>Recuperación</x:v>
      </x:c>
      <x:c r="G99" s="40" t="n">
        <x:v>-5.191992</x:v>
      </x:c>
      <x:c r="H99" s="40" t="n">
        <x:v>-80.636532</x:v>
      </x:c>
      <x:c r="I99" s="39" t="str">
        <x:v>Castilla</x:v>
      </x:c>
      <x:c r="J99" s="39" t="str">
        <x:v>Piura</x:v>
      </x:c>
      <x:c r="K99" s="39" t="str">
        <x:v>AG03</x:v>
      </x:c>
      <x:c r="L99" s="39" t="str">
        <x:v>Mibanco Castilla</x:v>
      </x:c>
      <x:c r="M99" s="41" t="n">
        <x:v>1.71</x:v>
      </x:c>
      <x:c r="N99" s="42" t="n">
        <x:v>46292</x:v>
      </x:c>
      <x:c r="O99" s="43" t="n">
        <x:v>0.375</x:v>
      </x:c>
      <x:c r="P99" s="43" t="n">
        <x:v>0.4583333333333333</x:v>
      </x:c>
      <x:c r="Q99" s="39" t="n">
        <x:v>35</x:v>
      </x:c>
      <x:c r="R99" s="44" t="n">
        <x:v>0</x:v>
      </x:c>
      <x:c r="S99" s="39" t="str">
        <x:v>No aplica</x:v>
      </x:c>
      <x:c r="T99" s="45" t="n">
        <x:v>0</x:v>
      </x:c>
      <x:c r="U99" s="39" t="n">
        <x:v>7</x:v>
      </x:c>
      <x:c r="V99" s="44" t="n">
        <x:v>32000</x:v>
      </x:c>
      <x:c r="W99" s="39" t="str">
        <x:v>No</x:v>
      </x:c>
      <x:c r="X99" s="42"/>
      <x:c r="Y99" s="39" t="str">
        <x:v>Sin compromiso</x:v>
      </x:c>
      <x:c r="Z99" s="39" t="n">
        <x:v>2</x:v>
      </x:c>
      <x:c r="AA99" s="39" t="str">
        <x:v>No responde</x:v>
      </x:c>
      <x:c r="AB99" s="39" t="str">
        <x:v>No</x:v>
      </x:c>
      <x:c r="AC99" s="39" t="str">
        <x:v>No</x:v>
      </x:c>
      <x:c r="AD99" s="46" t="n">
        <x:f>IF(C99="COMERCIAL",IF(AC99="Sí",40,0)+IF(D99="Recurrente",15,0)+IF(S99="Alto",25,IF(S99="Medio",12,0))+IF(R99&gt;=30000,20,IF(R99&gt;=10000,12,IF(R99&gt;=5000,6,0)))+IF(N99&lt;=Metadatos!$B$13+1,25,0)+IF(AB99="Sí",15,0)+IF(AA99="No responde",-10,0),IF(Y99="Incumplido",40,0)+IF(AND(W99="Sí",X99=Metadatos!$B$13),35,0)+IF(V99&gt;=20000,25,IF(V99&gt;=10000,18,IF(V99&gt;=5000,10,0)))+IF(U99&gt;=15,25,IF(U99&gt;=6,20,IF(U99&gt;=3,10,0)))+IF(Z99&gt;=3,20,IF(Z99&gt;=2,10,0))+IF(AA99="Respondió",-10,0)+IF(AND(Y99="Vigente",X99&gt;Metadatos!$B$13),-10,0))</x:f>
        <x:v>55</x:v>
      </x:c>
      <x:c r="AE99" s="39" t="str">
        <x:f>IF(AD99&gt;=70,"P1",IF(AD99&gt;=50,"P2",IF(AD99&gt;=30,"P3","P4")))</x:f>
        <x:v>P2</x:v>
      </x:c>
      <x:c r="AF99" s="39" t="str">
        <x:v>Seguimiento por días de mora</x:v>
      </x:c>
      <x:c r="AG99" s="39" t="str">
        <x:v>Programada</x:v>
      </x:c>
      <x:c r="AH99" s="39" t="str">
        <x:v>https://www.google.com/maps?q=-5.191992,-80.636532</x:v>
      </x:c>
      <x:c r="AI99" s="39" t="str">
        <x:v>SINTÉTICO</x:v>
      </x:c>
    </x:row>
    <x:row r="100">
      <x:c r="A100" s="39" t="str">
        <x:v>CLI-099</x:v>
      </x:c>
      <x:c r="B100" s="39" t="str">
        <x:v>Cliente 099</x:v>
      </x:c>
      <x:c r="C100" s="39" t="str">
        <x:v>COMERCIAL</x:v>
      </x:c>
      <x:c r="D100" s="39" t="str">
        <x:v>Nuevo</x:v>
      </x:c>
      <x:c r="E100" s="39" t="str">
        <x:v>Crédito personal</x:v>
      </x:c>
      <x:c r="F100" s="39" t="str">
        <x:v>Evaluación</x:v>
      </x:c>
      <x:c r="G100" s="40" t="n">
        <x:v>-5.176774</x:v>
      </x:c>
      <x:c r="H100" s="40" t="n">
        <x:v>-80.654582</x:v>
      </x:c>
      <x:c r="I100" s="39" t="str">
        <x:v>Castilla</x:v>
      </x:c>
      <x:c r="J100" s="39" t="str">
        <x:v>Piura</x:v>
      </x:c>
      <x:c r="K100" s="39" t="str">
        <x:v>AG03</x:v>
      </x:c>
      <x:c r="L100" s="39" t="str">
        <x:v>Mibanco Castilla</x:v>
      </x:c>
      <x:c r="M100" s="41" t="n">
        <x:v>4.17</x:v>
      </x:c>
      <x:c r="N100" s="42" t="n">
        <x:v>46293</x:v>
      </x:c>
      <x:c r="O100" s="43" t="n">
        <x:v>0.4375</x:v>
      </x:c>
      <x:c r="P100" s="43" t="n">
        <x:v>0.5</x:v>
      </x:c>
      <x:c r="Q100" s="39" t="n">
        <x:v>30</x:v>
      </x:c>
      <x:c r="R100" s="44" t="n">
        <x:v>25600</x:v>
      </x:c>
      <x:c r="S100" s="39" t="str">
        <x:v>Medio</x:v>
      </x:c>
      <x:c r="T100" s="45" t="n">
        <x:v>0.4</x:v>
      </x:c>
      <x:c r="U100" s="39" t="n">
        <x:v>0</x:v>
      </x:c>
      <x:c r="V100" s="44" t="n">
        <x:v>0</x:v>
      </x:c>
      <x:c r="W100" s="39" t="str">
        <x:v>No</x:v>
      </x:c>
      <x:c r="X100" s="42"/>
      <x:c r="Y100" s="39" t="str">
        <x:v>No aplica</x:v>
      </x:c>
      <x:c r="Z100" s="39" t="n">
        <x:v>0</x:v>
      </x:c>
      <x:c r="AA100" s="39" t="str">
        <x:v>Respondió</x:v>
      </x:c>
      <x:c r="AB100" s="39" t="str">
        <x:v>No</x:v>
      </x:c>
      <x:c r="AC100" s="39" t="str">
        <x:v>No</x:v>
      </x:c>
      <x:c r="AD100" s="46" t="n">
        <x:f>IF(C100="COMERCIAL",IF(AC100="Sí",40,0)+IF(D100="Recurrente",15,0)+IF(S100="Alto",25,IF(S100="Medio",12,0))+IF(R100&gt;=30000,20,IF(R100&gt;=10000,12,IF(R100&gt;=5000,6,0)))+IF(N100&lt;=Metadatos!$B$13+1,25,0)+IF(AB100="Sí",15,0)+IF(AA100="No responde",-10,0),IF(Y100="Incumplido",40,0)+IF(AND(W100="Sí",X100=Metadatos!$B$13),35,0)+IF(V100&gt;=20000,25,IF(V100&gt;=10000,18,IF(V100&gt;=5000,10,0)))+IF(U100&gt;=15,25,IF(U100&gt;=6,20,IF(U100&gt;=3,10,0)))+IF(Z100&gt;=3,20,IF(Z100&gt;=2,10,0))+IF(AA100="Respondió",-10,0)+IF(AND(Y100="Vigente",X100&gt;Metadatos!$B$13),-10,0))</x:f>
        <x:v>24</x:v>
      </x:c>
      <x:c r="AE100" s="39" t="str">
        <x:f>IF(AD100&gt;=70,"P1",IF(AD100&gt;=50,"P2",IF(AD100&gt;=30,"P3","P4")))</x:f>
        <x:v>P4</x:v>
      </x:c>
      <x:c r="AF100" s="39" t="str">
        <x:v>Interés medio; requiere seguimiento</x:v>
      </x:c>
      <x:c r="AG100" s="39" t="str">
        <x:v>Programada</x:v>
      </x:c>
      <x:c r="AH100" s="39" t="str">
        <x:v>https://www.google.com/maps?q=-5.176774,-80.654582</x:v>
      </x:c>
      <x:c r="AI100" s="39" t="str">
        <x:v>SINTÉTICO</x:v>
      </x:c>
    </x:row>
    <x:row r="101">
      <x:c r="A101" s="39" t="str">
        <x:v>CLI-100</x:v>
      </x:c>
      <x:c r="B101" s="39" t="str">
        <x:v>Cliente 100</x:v>
      </x:c>
      <x:c r="C101" s="39" t="str">
        <x:v>COBRANZA</x:v>
      </x:c>
      <x:c r="D101" s="39" t="str">
        <x:v>Deudor</x:v>
      </x:c>
      <x:c r="E101" s="39" t="str">
        <x:v>Cobranza de crédito</x:v>
      </x:c>
      <x:c r="F101" s="39" t="str">
        <x:v>Recuperación</x:v>
      </x:c>
      <x:c r="G101" s="40" t="n">
        <x:v>-5.166829</x:v>
      </x:c>
      <x:c r="H101" s="40" t="n">
        <x:v>-80.630586</x:v>
      </x:c>
      <x:c r="I101" s="39" t="str">
        <x:v>Castilla</x:v>
      </x:c>
      <x:c r="J101" s="39" t="str">
        <x:v>Piura</x:v>
      </x:c>
      <x:c r="K101" s="39" t="str">
        <x:v>AG03</x:v>
      </x:c>
      <x:c r="L101" s="39" t="str">
        <x:v>Mibanco Castilla</x:v>
      </x:c>
      <x:c r="M101" s="41" t="n">
        <x:v>3.2</x:v>
      </x:c>
      <x:c r="N101" s="42" t="n">
        <x:v>46291</x:v>
      </x:c>
      <x:c r="O101" s="43" t="n">
        <x:v>0.4375</x:v>
      </x:c>
      <x:c r="P101" s="43" t="n">
        <x:v>0.5</x:v>
      </x:c>
      <x:c r="Q101" s="39" t="n">
        <x:v>30</x:v>
      </x:c>
      <x:c r="R101" s="44" t="n">
        <x:v>0</x:v>
      </x:c>
      <x:c r="S101" s="39" t="str">
        <x:v>No aplica</x:v>
      </x:c>
      <x:c r="T101" s="45" t="n">
        <x:v>0</x:v>
      </x:c>
      <x:c r="U101" s="39" t="n">
        <x:v>15</x:v>
      </x:c>
      <x:c r="V101" s="44" t="n">
        <x:v>18600</x:v>
      </x:c>
      <x:c r="W101" s="39" t="str">
        <x:v>No</x:v>
      </x:c>
      <x:c r="X101" s="42"/>
      <x:c r="Y101" s="39" t="str">
        <x:v>Sin compromiso</x:v>
      </x:c>
      <x:c r="Z101" s="39" t="n">
        <x:v>3</x:v>
      </x:c>
      <x:c r="AA101" s="39" t="str">
        <x:v>No responde</x:v>
      </x:c>
      <x:c r="AB101" s="39" t="str">
        <x:v>No</x:v>
      </x:c>
      <x:c r="AC101" s="39" t="str">
        <x:v>No</x:v>
      </x:c>
      <x:c r="AD101" s="46" t="n">
        <x:f>IF(C101="COMERCIAL",IF(AC101="Sí",40,0)+IF(D101="Recurrente",15,0)+IF(S101="Alto",25,IF(S101="Medio",12,0))+IF(R101&gt;=30000,20,IF(R101&gt;=10000,12,IF(R101&gt;=5000,6,0)))+IF(N101&lt;=Metadatos!$B$13+1,25,0)+IF(AB101="Sí",15,0)+IF(AA101="No responde",-10,0),IF(Y101="Incumplido",40,0)+IF(AND(W101="Sí",X101=Metadatos!$B$13),35,0)+IF(V101&gt;=20000,25,IF(V101&gt;=10000,18,IF(V101&gt;=5000,10,0)))+IF(U101&gt;=15,25,IF(U101&gt;=6,20,IF(U101&gt;=3,10,0)))+IF(Z101&gt;=3,20,IF(Z101&gt;=2,10,0))+IF(AA101="Respondió",-10,0)+IF(AND(Y101="Vigente",X101&gt;Metadatos!$B$13),-10,0))</x:f>
        <x:v>63</x:v>
      </x:c>
      <x:c r="AE101" s="39" t="str">
        <x:f>IF(AD101&gt;=70,"P1",IF(AD101&gt;=50,"P2",IF(AD101&gt;=30,"P3","P4")))</x:f>
        <x:v>P2</x:v>
      </x:c>
      <x:c r="AF101" s="39" t="str">
        <x:v>Mora elevada y saldo alto</x:v>
      </x:c>
      <x:c r="AG101" s="39" t="str">
        <x:v>Pendiente</x:v>
      </x:c>
      <x:c r="AH101" s="39" t="str">
        <x:v>https://www.google.com/maps?q=-5.166829,-80.630586</x:v>
      </x:c>
      <x:c r="AI101" s="39" t="str">
        <x:v>SINTÉTICO</x:v>
      </x:c>
    </x:row>
    <x:row r="102">
      <x:c r="A102" s="39" t="str">
        <x:v>CLI-101</x:v>
      </x:c>
      <x:c r="B102" s="39" t="str">
        <x:v>Cliente 101</x:v>
      </x:c>
      <x:c r="C102" s="39" t="str">
        <x:v>COMERCIAL</x:v>
      </x:c>
      <x:c r="D102" s="39" t="str">
        <x:v>Nuevo</x:v>
      </x:c>
      <x:c r="E102" s="39" t="str">
        <x:v>Crédito para negocio</x:v>
      </x:c>
      <x:c r="F102" s="39" t="str">
        <x:v>Negociación</x:v>
      </x:c>
      <x:c r="G102" s="40" t="n">
        <x:v>-5.203451</x:v>
      </x:c>
      <x:c r="H102" s="40" t="n">
        <x:v>-80.619089</x:v>
      </x:c>
      <x:c r="I102" s="39" t="str">
        <x:v>Castilla</x:v>
      </x:c>
      <x:c r="J102" s="39" t="str">
        <x:v>Piura</x:v>
      </x:c>
      <x:c r="K102" s="39" t="str">
        <x:v>AG03</x:v>
      </x:c>
      <x:c r="L102" s="39" t="str">
        <x:v>Mibanco Castilla</x:v>
      </x:c>
      <x:c r="M102" s="41" t="n">
        <x:v>1.08</x:v>
      </x:c>
      <x:c r="N102" s="42" t="n">
        <x:v>46294</x:v>
      </x:c>
      <x:c r="O102" s="43" t="n">
        <x:v>0.5</x:v>
      </x:c>
      <x:c r="P102" s="43" t="n">
        <x:v>0.5833333333333334</x:v>
      </x:c>
      <x:c r="Q102" s="39" t="n">
        <x:v>40</x:v>
      </x:c>
      <x:c r="R102" s="44" t="n">
        <x:v>14400</x:v>
      </x:c>
      <x:c r="S102" s="39" t="str">
        <x:v>Medio</x:v>
      </x:c>
      <x:c r="T102" s="45" t="n">
        <x:v>0.56</x:v>
      </x:c>
      <x:c r="U102" s="39" t="n">
        <x:v>0</x:v>
      </x:c>
      <x:c r="V102" s="44" t="n">
        <x:v>0</x:v>
      </x:c>
      <x:c r="W102" s="39" t="str">
        <x:v>No</x:v>
      </x:c>
      <x:c r="X102" s="42"/>
      <x:c r="Y102" s="39" t="str">
        <x:v>No aplica</x:v>
      </x:c>
      <x:c r="Z102" s="39" t="n">
        <x:v>0</x:v>
      </x:c>
      <x:c r="AA102" s="39" t="str">
        <x:v>No responde</x:v>
      </x:c>
      <x:c r="AB102" s="39" t="str">
        <x:v>No</x:v>
      </x:c>
      <x:c r="AC102" s="39" t="str">
        <x:v>No</x:v>
      </x:c>
      <x:c r="AD102" s="46" t="n">
        <x:f>IF(C102="COMERCIAL",IF(AC102="Sí",40,0)+IF(D102="Recurrente",15,0)+IF(S102="Alto",25,IF(S102="Medio",12,0))+IF(R102&gt;=30000,20,IF(R102&gt;=10000,12,IF(R102&gt;=5000,6,0)))+IF(N102&lt;=Metadatos!$B$13+1,25,0)+IF(AB102="Sí",15,0)+IF(AA102="No responde",-10,0),IF(Y102="Incumplido",40,0)+IF(AND(W102="Sí",X102=Metadatos!$B$13),35,0)+IF(V102&gt;=20000,25,IF(V102&gt;=10000,18,IF(V102&gt;=5000,10,0)))+IF(U102&gt;=15,25,IF(U102&gt;=6,20,IF(U102&gt;=3,10,0)))+IF(Z102&gt;=3,20,IF(Z102&gt;=2,10,0))+IF(AA102="Respondió",-10,0)+IF(AND(Y102="Vigente",X102&gt;Metadatos!$B$13),-10,0))</x:f>
        <x:v>14</x:v>
      </x:c>
      <x:c r="AE102" s="39" t="str">
        <x:f>IF(AD102&gt;=70,"P1",IF(AD102&gt;=50,"P2",IF(AD102&gt;=30,"P3","P4")))</x:f>
        <x:v>P4</x:v>
      </x:c>
      <x:c r="AF102" s="39" t="str">
        <x:v>Interés medio; requiere seguimiento</x:v>
      </x:c>
      <x:c r="AG102" s="39" t="str">
        <x:v>Pendiente</x:v>
      </x:c>
      <x:c r="AH102" s="39" t="str">
        <x:v>https://www.google.com/maps?q=-5.203451,-80.619089</x:v>
      </x:c>
      <x:c r="AI102" s="39" t="str">
        <x:v>SINTÉTICO</x:v>
      </x:c>
    </x:row>
    <x:row r="103">
      <x:c r="A103" s="39" t="str">
        <x:v>CLI-102</x:v>
      </x:c>
      <x:c r="B103" s="39" t="str">
        <x:v>Cliente 102</x:v>
      </x:c>
      <x:c r="C103" s="39" t="str">
        <x:v>COBRANZA</x:v>
      </x:c>
      <x:c r="D103" s="39" t="str">
        <x:v>Deudor</x:v>
      </x:c>
      <x:c r="E103" s="39" t="str">
        <x:v>Cobranza de crédito</x:v>
      </x:c>
      <x:c r="F103" s="39" t="str">
        <x:v>Recuperación</x:v>
      </x:c>
      <x:c r="G103" s="40" t="n">
        <x:v>-5.164605</x:v>
      </x:c>
      <x:c r="H103" s="40" t="n">
        <x:v>-80.600944</x:v>
      </x:c>
      <x:c r="I103" s="39" t="str">
        <x:v>Castilla</x:v>
      </x:c>
      <x:c r="J103" s="39" t="str">
        <x:v>Piura</x:v>
      </x:c>
      <x:c r="K103" s="39" t="str">
        <x:v>AG03</x:v>
      </x:c>
      <x:c r="L103" s="39" t="str">
        <x:v>Mibanco Castilla</x:v>
      </x:c>
      <x:c r="M103" s="41" t="n">
        <x:v>3.97</x:v>
      </x:c>
      <x:c r="N103" s="42" t="n">
        <x:v>46291</x:v>
      </x:c>
      <x:c r="O103" s="43" t="n">
        <x:v>0.3541666666666667</x:v>
      </x:c>
      <x:c r="P103" s="43" t="n">
        <x:v>0.3958333333333333</x:v>
      </x:c>
      <x:c r="Q103" s="39" t="n">
        <x:v>45</x:v>
      </x:c>
      <x:c r="R103" s="44" t="n">
        <x:v>0</x:v>
      </x:c>
      <x:c r="S103" s="39" t="str">
        <x:v>No aplica</x:v>
      </x:c>
      <x:c r="T103" s="45" t="n">
        <x:v>0</x:v>
      </x:c>
      <x:c r="U103" s="39" t="n">
        <x:v>15</x:v>
      </x:c>
      <x:c r="V103" s="44" t="n">
        <x:v>24800</x:v>
      </x:c>
      <x:c r="W103" s="39" t="str">
        <x:v>Sí</x:v>
      </x:c>
      <x:c r="X103" s="42" t="n">
        <x:v>46290</x:v>
      </x:c>
      <x:c r="Y103" s="39" t="str">
        <x:v>Incumplido</x:v>
      </x:c>
      <x:c r="Z103" s="39" t="n">
        <x:v>1</x:v>
      </x:c>
      <x:c r="AA103" s="39" t="str">
        <x:v>Respondió</x:v>
      </x:c>
      <x:c r="AB103" s="39" t="str">
        <x:v>No</x:v>
      </x:c>
      <x:c r="AC103" s="39" t="str">
        <x:v>No</x:v>
      </x:c>
      <x:c r="AD103" s="46" t="n">
        <x:f>IF(C103="COMERCIAL",IF(AC103="Sí",40,0)+IF(D103="Recurrente",15,0)+IF(S103="Alto",25,IF(S103="Medio",12,0))+IF(R103&gt;=30000,20,IF(R103&gt;=10000,12,IF(R103&gt;=5000,6,0)))+IF(N103&lt;=Metadatos!$B$13+1,25,0)+IF(AB103="Sí",15,0)+IF(AA103="No responde",-10,0),IF(Y103="Incumplido",40,0)+IF(AND(W103="Sí",X103=Metadatos!$B$13),35,0)+IF(V103&gt;=20000,25,IF(V103&gt;=10000,18,IF(V103&gt;=5000,10,0)))+IF(U103&gt;=15,25,IF(U103&gt;=6,20,IF(U103&gt;=3,10,0)))+IF(Z103&gt;=3,20,IF(Z103&gt;=2,10,0))+IF(AA103="Respondió",-10,0)+IF(AND(Y103="Vigente",X103&gt;Metadatos!$B$13),-10,0))</x:f>
        <x:v>80</x:v>
      </x:c>
      <x:c r="AE103" s="39" t="str">
        <x:f>IF(AD103&gt;=70,"P1",IF(AD103&gt;=50,"P2",IF(AD103&gt;=30,"P3","P4")))</x:f>
        <x:v>P1</x:v>
      </x:c>
      <x:c r="AF103" s="39" t="str">
        <x:v>Compromiso de pago incumplido</x:v>
      </x:c>
      <x:c r="AG103" s="39" t="str">
        <x:v>Pendiente</x:v>
      </x:c>
      <x:c r="AH103" s="39" t="str">
        <x:v>https://www.google.com/maps?q=-5.164605,-80.600944</x:v>
      </x:c>
      <x:c r="AI103" s="39" t="str">
        <x:v>SINTÉTICO</x:v>
      </x:c>
    </x:row>
    <x:row r="104">
      <x:c r="A104" s="39" t="str">
        <x:v>CLI-103</x:v>
      </x:c>
      <x:c r="B104" s="39" t="str">
        <x:v>Cliente 103</x:v>
      </x:c>
      <x:c r="C104" s="39" t="str">
        <x:v>COMERCIAL</x:v>
      </x:c>
      <x:c r="D104" s="39" t="str">
        <x:v>Nuevo</x:v>
      </x:c>
      <x:c r="E104" s="39" t="str">
        <x:v>Seguro</x:v>
      </x:c>
      <x:c r="F104" s="39" t="str">
        <x:v>Prospecto</x:v>
      </x:c>
      <x:c r="G104" s="40" t="n">
        <x:v>-5.184813</x:v>
      </x:c>
      <x:c r="H104" s="40" t="n">
        <x:v>-80.655249</x:v>
      </x:c>
      <x:c r="I104" s="39" t="str">
        <x:v>Castilla</x:v>
      </x:c>
      <x:c r="J104" s="39" t="str">
        <x:v>Piura</x:v>
      </x:c>
      <x:c r="K104" s="39" t="str">
        <x:v>AG03</x:v>
      </x:c>
      <x:c r="L104" s="39" t="str">
        <x:v>Mibanco Castilla</x:v>
      </x:c>
      <x:c r="M104" s="41" t="n">
        <x:v>3.91</x:v>
      </x:c>
      <x:c r="N104" s="42" t="n">
        <x:v>46296</x:v>
      </x:c>
      <x:c r="O104" s="43" t="n">
        <x:v>0.3333333333333333</x:v>
      </x:c>
      <x:c r="P104" s="43" t="n">
        <x:v>0.375</x:v>
      </x:c>
      <x:c r="Q104" s="39" t="n">
        <x:v>40</x:v>
      </x:c>
      <x:c r="R104" s="44" t="n">
        <x:v>25200</x:v>
      </x:c>
      <x:c r="S104" s="39" t="str">
        <x:v>Bajo</x:v>
      </x:c>
      <x:c r="T104" s="45" t="n">
        <x:v>0.15</x:v>
      </x:c>
      <x:c r="U104" s="39" t="n">
        <x:v>0</x:v>
      </x:c>
      <x:c r="V104" s="44" t="n">
        <x:v>0</x:v>
      </x:c>
      <x:c r="W104" s="39" t="str">
        <x:v>No</x:v>
      </x:c>
      <x:c r="X104" s="42"/>
      <x:c r="Y104" s="39" t="str">
        <x:v>No aplica</x:v>
      </x:c>
      <x:c r="Z104" s="39" t="n">
        <x:v>0</x:v>
      </x:c>
      <x:c r="AA104" s="39" t="str">
        <x:v>Respondió</x:v>
      </x:c>
      <x:c r="AB104" s="39" t="str">
        <x:v>No</x:v>
      </x:c>
      <x:c r="AC104" s="39" t="str">
        <x:v>No</x:v>
      </x:c>
      <x:c r="AD104" s="46" t="n">
        <x:f>IF(C104="COMERCIAL",IF(AC104="Sí",40,0)+IF(D104="Recurrente",15,0)+IF(S104="Alto",25,IF(S104="Medio",12,0))+IF(R104&gt;=30000,20,IF(R104&gt;=10000,12,IF(R104&gt;=5000,6,0)))+IF(N104&lt;=Metadatos!$B$13+1,25,0)+IF(AB104="Sí",15,0)+IF(AA104="No responde",-10,0),IF(Y104="Incumplido",40,0)+IF(AND(W104="Sí",X104=Metadatos!$B$13),35,0)+IF(V104&gt;=20000,25,IF(V104&gt;=10000,18,IF(V104&gt;=5000,10,0)))+IF(U104&gt;=15,25,IF(U104&gt;=6,20,IF(U104&gt;=3,10,0)))+IF(Z104&gt;=3,20,IF(Z104&gt;=2,10,0))+IF(AA104="Respondió",-10,0)+IF(AND(Y104="Vigente",X104&gt;Metadatos!$B$13),-10,0))</x:f>
        <x:v>12</x:v>
      </x:c>
      <x:c r="AE104" s="39" t="str">
        <x:f>IF(AD104&gt;=70,"P1",IF(AD104&gt;=50,"P2",IF(AD104&gt;=30,"P3","P4")))</x:f>
        <x:v>P4</x:v>
      </x:c>
      <x:c r="AF104" s="39" t="str">
        <x:v>Prospecto sin urgencia inmediata</x:v>
      </x:c>
      <x:c r="AG104" s="39" t="str">
        <x:v>Pendiente</x:v>
      </x:c>
      <x:c r="AH104" s="39" t="str">
        <x:v>https://www.google.com/maps?q=-5.184813,-80.655249</x:v>
      </x:c>
      <x:c r="AI104" s="39" t="str">
        <x:v>SINTÉTICO</x:v>
      </x:c>
    </x:row>
    <x:row r="105">
      <x:c r="A105" s="39" t="str">
        <x:v>CLI-104</x:v>
      </x:c>
      <x:c r="B105" s="39" t="str">
        <x:v>Cliente 104</x:v>
      </x:c>
      <x:c r="C105" s="39" t="str">
        <x:v>COBRANZA</x:v>
      </x:c>
      <x:c r="D105" s="39" t="str">
        <x:v>Deudor</x:v>
      </x:c>
      <x:c r="E105" s="39" t="str">
        <x:v>Cobranza de crédito</x:v>
      </x:c>
      <x:c r="F105" s="39" t="str">
        <x:v>Recuperación</x:v>
      </x:c>
      <x:c r="G105" s="40" t="n">
        <x:v>-5.22539</x:v>
      </x:c>
      <x:c r="H105" s="40" t="n">
        <x:v>-80.639918</x:v>
      </x:c>
      <x:c r="I105" s="39" t="str">
        <x:v>Castilla</x:v>
      </x:c>
      <x:c r="J105" s="39" t="str">
        <x:v>Piura</x:v>
      </x:c>
      <x:c r="K105" s="39" t="str">
        <x:v>AG03</x:v>
      </x:c>
      <x:c r="L105" s="39" t="str">
        <x:v>Mibanco Castilla</x:v>
      </x:c>
      <x:c r="M105" s="41" t="n">
        <x:v>4.06</x:v>
      </x:c>
      <x:c r="N105" s="42" t="n">
        <x:v>46292</x:v>
      </x:c>
      <x:c r="O105" s="43" t="n">
        <x:v>0.4791666666666667</x:v>
      </x:c>
      <x:c r="P105" s="43" t="n">
        <x:v>0.5625</x:v>
      </x:c>
      <x:c r="Q105" s="39" t="n">
        <x:v>25</x:v>
      </x:c>
      <x:c r="R105" s="44" t="n">
        <x:v>0</x:v>
      </x:c>
      <x:c r="S105" s="39" t="str">
        <x:v>No aplica</x:v>
      </x:c>
      <x:c r="T105" s="45" t="n">
        <x:v>0</x:v>
      </x:c>
      <x:c r="U105" s="39" t="n">
        <x:v>12</x:v>
      </x:c>
      <x:c r="V105" s="44" t="n">
        <x:v>15200</x:v>
      </x:c>
      <x:c r="W105" s="39" t="str">
        <x:v>No</x:v>
      </x:c>
      <x:c r="X105" s="42"/>
      <x:c r="Y105" s="39" t="str">
        <x:v>Sin compromiso</x:v>
      </x:c>
      <x:c r="Z105" s="39" t="n">
        <x:v>2</x:v>
      </x:c>
      <x:c r="AA105" s="39" t="str">
        <x:v>Respondió</x:v>
      </x:c>
      <x:c r="AB105" s="39" t="str">
        <x:v>No</x:v>
      </x:c>
      <x:c r="AC105" s="39" t="str">
        <x:v>No</x:v>
      </x:c>
      <x:c r="AD105" s="46" t="n">
        <x:f>IF(C105="COMERCIAL",IF(AC105="Sí",40,0)+IF(D105="Recurrente",15,0)+IF(S105="Alto",25,IF(S105="Medio",12,0))+IF(R105&gt;=30000,20,IF(R105&gt;=10000,12,IF(R105&gt;=5000,6,0)))+IF(N105&lt;=Metadatos!$B$13+1,25,0)+IF(AB105="Sí",15,0)+IF(AA105="No responde",-10,0),IF(Y105="Incumplido",40,0)+IF(AND(W105="Sí",X105=Metadatos!$B$13),35,0)+IF(V105&gt;=20000,25,IF(V105&gt;=10000,18,IF(V105&gt;=5000,10,0)))+IF(U105&gt;=15,25,IF(U105&gt;=6,20,IF(U105&gt;=3,10,0)))+IF(Z105&gt;=3,20,IF(Z105&gt;=2,10,0))+IF(AA105="Respondió",-10,0)+IF(AND(Y105="Vigente",X105&gt;Metadatos!$B$13),-10,0))</x:f>
        <x:v>38</x:v>
      </x:c>
      <x:c r="AE105" s="39" t="str">
        <x:f>IF(AD105&gt;=70,"P1",IF(AD105&gt;=50,"P2",IF(AD105&gt;=30,"P3","P4")))</x:f>
        <x:v>P3</x:v>
      </x:c>
      <x:c r="AF105" s="39" t="str">
        <x:v>Seguimiento por días de mora</x:v>
      </x:c>
      <x:c r="AG105" s="39" t="str">
        <x:v>Pendiente</x:v>
      </x:c>
      <x:c r="AH105" s="39" t="str">
        <x:v>https://www.google.com/maps?q=-5.225390,-80.639918</x:v>
      </x:c>
      <x:c r="AI105" s="39" t="str">
        <x:v>SINTÉTICO</x:v>
      </x:c>
    </x:row>
    <x:row r="106">
      <x:c r="A106" s="39" t="str">
        <x:v>CLI-105</x:v>
      </x:c>
      <x:c r="B106" s="39" t="str">
        <x:v>Cliente 105</x:v>
      </x:c>
      <x:c r="C106" s="39" t="str">
        <x:v>COMERCIAL</x:v>
      </x:c>
      <x:c r="D106" s="39" t="str">
        <x:v>Nuevo</x:v>
      </x:c>
      <x:c r="E106" s="39" t="str">
        <x:v>Seguro</x:v>
      </x:c>
      <x:c r="F106" s="39" t="str">
        <x:v>Negociación</x:v>
      </x:c>
      <x:c r="G106" s="40" t="n">
        <x:v>-5.187841</x:v>
      </x:c>
      <x:c r="H106" s="40" t="n">
        <x:v>-80.638386</x:v>
      </x:c>
      <x:c r="I106" s="39" t="str">
        <x:v>Castilla</x:v>
      </x:c>
      <x:c r="J106" s="39" t="str">
        <x:v>Piura</x:v>
      </x:c>
      <x:c r="K106" s="39" t="str">
        <x:v>AG03</x:v>
      </x:c>
      <x:c r="L106" s="39" t="str">
        <x:v>Mibanco Castilla</x:v>
      </x:c>
      <x:c r="M106" s="41" t="n">
        <x:v>2.02</x:v>
      </x:c>
      <x:c r="N106" s="42" t="n">
        <x:v>46293</x:v>
      </x:c>
      <x:c r="O106" s="43" t="n">
        <x:v>0.375</x:v>
      </x:c>
      <x:c r="P106" s="43" t="n">
        <x:v>0.4375</x:v>
      </x:c>
      <x:c r="Q106" s="39" t="n">
        <x:v>30</x:v>
      </x:c>
      <x:c r="R106" s="44" t="n">
        <x:v>15800</x:v>
      </x:c>
      <x:c r="S106" s="39" t="str">
        <x:v>Medio</x:v>
      </x:c>
      <x:c r="T106" s="45" t="n">
        <x:v>0.47</x:v>
      </x:c>
      <x:c r="U106" s="39" t="n">
        <x:v>0</x:v>
      </x:c>
      <x:c r="V106" s="44" t="n">
        <x:v>0</x:v>
      </x:c>
      <x:c r="W106" s="39" t="str">
        <x:v>No</x:v>
      </x:c>
      <x:c r="X106" s="42"/>
      <x:c r="Y106" s="39" t="str">
        <x:v>No aplica</x:v>
      </x:c>
      <x:c r="Z106" s="39" t="n">
        <x:v>0</x:v>
      </x:c>
      <x:c r="AA106" s="39" t="str">
        <x:v>Respondió</x:v>
      </x:c>
      <x:c r="AB106" s="39" t="str">
        <x:v>No</x:v>
      </x:c>
      <x:c r="AC106" s="39" t="str">
        <x:v>No</x:v>
      </x:c>
      <x:c r="AD106" s="46" t="n">
        <x:f>IF(C106="COMERCIAL",IF(AC106="Sí",40,0)+IF(D106="Recurrente",15,0)+IF(S106="Alto",25,IF(S106="Medio",12,0))+IF(R106&gt;=30000,20,IF(R106&gt;=10000,12,IF(R106&gt;=5000,6,0)))+IF(N106&lt;=Metadatos!$B$13+1,25,0)+IF(AB106="Sí",15,0)+IF(AA106="No responde",-10,0),IF(Y106="Incumplido",40,0)+IF(AND(W106="Sí",X106=Metadatos!$B$13),35,0)+IF(V106&gt;=20000,25,IF(V106&gt;=10000,18,IF(V106&gt;=5000,10,0)))+IF(U106&gt;=15,25,IF(U106&gt;=6,20,IF(U106&gt;=3,10,0)))+IF(Z106&gt;=3,20,IF(Z106&gt;=2,10,0))+IF(AA106="Respondió",-10,0)+IF(AND(Y106="Vigente",X106&gt;Metadatos!$B$13),-10,0))</x:f>
        <x:v>24</x:v>
      </x:c>
      <x:c r="AE106" s="39" t="str">
        <x:f>IF(AD106&gt;=70,"P1",IF(AD106&gt;=50,"P2",IF(AD106&gt;=30,"P3","P4")))</x:f>
        <x:v>P4</x:v>
      </x:c>
      <x:c r="AF106" s="39" t="str">
        <x:v>Interés medio; requiere seguimiento</x:v>
      </x:c>
      <x:c r="AG106" s="39" t="str">
        <x:v>Pendiente</x:v>
      </x:c>
      <x:c r="AH106" s="39" t="str">
        <x:v>https://www.google.com/maps?q=-5.187841,-80.638386</x:v>
      </x:c>
      <x:c r="AI106" s="39" t="str">
        <x:v>SINTÉTICO</x:v>
      </x:c>
    </x:row>
    <x:row r="107">
      <x:c r="A107" s="39" t="str">
        <x:v>CLI-106</x:v>
      </x:c>
      <x:c r="B107" s="39" t="str">
        <x:v>Cliente 106</x:v>
      </x:c>
      <x:c r="C107" s="39" t="str">
        <x:v>COBRANZA</x:v>
      </x:c>
      <x:c r="D107" s="39" t="str">
        <x:v>Deudor</x:v>
      </x:c>
      <x:c r="E107" s="39" t="str">
        <x:v>Cobranza de crédito</x:v>
      </x:c>
      <x:c r="F107" s="39" t="str">
        <x:v>Recuperación</x:v>
      </x:c>
      <x:c r="G107" s="40" t="n">
        <x:v>-5.197427</x:v>
      </x:c>
      <x:c r="H107" s="40" t="n">
        <x:v>-80.618488</x:v>
      </x:c>
      <x:c r="I107" s="39" t="str">
        <x:v>Castilla</x:v>
      </x:c>
      <x:c r="J107" s="39" t="str">
        <x:v>Piura</x:v>
      </x:c>
      <x:c r="K107" s="39" t="str">
        <x:v>AG03</x:v>
      </x:c>
      <x:c r="L107" s="39" t="str">
        <x:v>Mibanco Castilla</x:v>
      </x:c>
      <x:c r="M107" s="41" t="n">
        <x:v>0.48</x:v>
      </x:c>
      <x:c r="N107" s="42" t="n">
        <x:v>46291</x:v>
      </x:c>
      <x:c r="O107" s="43" t="n">
        <x:v>0.4583333333333333</x:v>
      </x:c>
      <x:c r="P107" s="43" t="n">
        <x:v>0.5416666666666666</x:v>
      </x:c>
      <x:c r="Q107" s="39" t="n">
        <x:v>45</x:v>
      </x:c>
      <x:c r="R107" s="44" t="n">
        <x:v>0</x:v>
      </x:c>
      <x:c r="S107" s="39" t="str">
        <x:v>No aplica</x:v>
      </x:c>
      <x:c r="T107" s="45" t="n">
        <x:v>0</x:v>
      </x:c>
      <x:c r="U107" s="39" t="n">
        <x:v>18</x:v>
      </x:c>
      <x:c r="V107" s="44" t="n">
        <x:v>18600</x:v>
      </x:c>
      <x:c r="W107" s="39" t="str">
        <x:v>Sí</x:v>
      </x:c>
      <x:c r="X107" s="42" t="n">
        <x:v>46290</x:v>
      </x:c>
      <x:c r="Y107" s="39" t="str">
        <x:v>Incumplido</x:v>
      </x:c>
      <x:c r="Z107" s="39" t="n">
        <x:v>1</x:v>
      </x:c>
      <x:c r="AA107" s="39" t="str">
        <x:v>Respondió</x:v>
      </x:c>
      <x:c r="AB107" s="39" t="str">
        <x:v>No</x:v>
      </x:c>
      <x:c r="AC107" s="39" t="str">
        <x:v>No</x:v>
      </x:c>
      <x:c r="AD107" s="46" t="n">
        <x:f>IF(C107="COMERCIAL",IF(AC107="Sí",40,0)+IF(D107="Recurrente",15,0)+IF(S107="Alto",25,IF(S107="Medio",12,0))+IF(R107&gt;=30000,20,IF(R107&gt;=10000,12,IF(R107&gt;=5000,6,0)))+IF(N107&lt;=Metadatos!$B$13+1,25,0)+IF(AB107="Sí",15,0)+IF(AA107="No responde",-10,0),IF(Y107="Incumplido",40,0)+IF(AND(W107="Sí",X107=Metadatos!$B$13),35,0)+IF(V107&gt;=20000,25,IF(V107&gt;=10000,18,IF(V107&gt;=5000,10,0)))+IF(U107&gt;=15,25,IF(U107&gt;=6,20,IF(U107&gt;=3,10,0)))+IF(Z107&gt;=3,20,IF(Z107&gt;=2,10,0))+IF(AA107="Respondió",-10,0)+IF(AND(Y107="Vigente",X107&gt;Metadatos!$B$13),-10,0))</x:f>
        <x:v>73</x:v>
      </x:c>
      <x:c r="AE107" s="39" t="str">
        <x:f>IF(AD107&gt;=70,"P1",IF(AD107&gt;=50,"P2",IF(AD107&gt;=30,"P3","P4")))</x:f>
        <x:v>P1</x:v>
      </x:c>
      <x:c r="AF107" s="39" t="str">
        <x:v>Compromiso de pago incumplido</x:v>
      </x:c>
      <x:c r="AG107" s="39" t="str">
        <x:v>Pendiente</x:v>
      </x:c>
      <x:c r="AH107" s="39" t="str">
        <x:v>https://www.google.com/maps?q=-5.197427,-80.618488</x:v>
      </x:c>
      <x:c r="AI107" s="39" t="str">
        <x:v>SINTÉTICO</x:v>
      </x:c>
    </x:row>
    <x:row r="108">
      <x:c r="A108" s="39" t="str">
        <x:v>CLI-107</x:v>
      </x:c>
      <x:c r="B108" s="39" t="str">
        <x:v>Cliente 107</x:v>
      </x:c>
      <x:c r="C108" s="39" t="str">
        <x:v>COMERCIAL</x:v>
      </x:c>
      <x:c r="D108" s="39" t="str">
        <x:v>Nuevo</x:v>
      </x:c>
      <x:c r="E108" s="39" t="str">
        <x:v>Crédito personal</x:v>
      </x:c>
      <x:c r="F108" s="39" t="str">
        <x:v>Cierre</x:v>
      </x:c>
      <x:c r="G108" s="40" t="n">
        <x:v>-5.206126</x:v>
      </x:c>
      <x:c r="H108" s="40" t="n">
        <x:v>-80.586679</x:v>
      </x:c>
      <x:c r="I108" s="39" t="str">
        <x:v>Castilla</x:v>
      </x:c>
      <x:c r="J108" s="39" t="str">
        <x:v>Piura</x:v>
      </x:c>
      <x:c r="K108" s="39" t="str">
        <x:v>AG03</x:v>
      </x:c>
      <x:c r="L108" s="39" t="str">
        <x:v>Mibanco Castilla</x:v>
      </x:c>
      <x:c r="M108" s="41" t="n">
        <x:v>4.06</x:v>
      </x:c>
      <x:c r="N108" s="42" t="n">
        <x:v>46292</x:v>
      </x:c>
      <x:c r="O108" s="43" t="n">
        <x:v>0.6041666666666666</x:v>
      </x:c>
      <x:c r="P108" s="43" t="n">
        <x:v>0.6458333333333334</x:v>
      </x:c>
      <x:c r="Q108" s="39" t="n">
        <x:v>40</x:v>
      </x:c>
      <x:c r="R108" s="44" t="n">
        <x:v>31700</x:v>
      </x:c>
      <x:c r="S108" s="39" t="str">
        <x:v>Alto</x:v>
      </x:c>
      <x:c r="T108" s="45" t="n">
        <x:v>0.67</x:v>
      </x:c>
      <x:c r="U108" s="39" t="n">
        <x:v>0</x:v>
      </x:c>
      <x:c r="V108" s="44" t="n">
        <x:v>0</x:v>
      </x:c>
      <x:c r="W108" s="39" t="str">
        <x:v>No</x:v>
      </x:c>
      <x:c r="X108" s="42"/>
      <x:c r="Y108" s="39" t="str">
        <x:v>No aplica</x:v>
      </x:c>
      <x:c r="Z108" s="39" t="n">
        <x:v>0</x:v>
      </x:c>
      <x:c r="AA108" s="39" t="str">
        <x:v>Respondió</x:v>
      </x:c>
      <x:c r="AB108" s="39" t="str">
        <x:v>No</x:v>
      </x:c>
      <x:c r="AC108" s="39" t="str">
        <x:v>No</x:v>
      </x:c>
      <x:c r="AD108" s="46" t="n">
        <x:f>IF(C108="COMERCIAL",IF(AC108="Sí",40,0)+IF(D108="Recurrente",15,0)+IF(S108="Alto",25,IF(S108="Medio",12,0))+IF(R108&gt;=30000,20,IF(R108&gt;=10000,12,IF(R108&gt;=5000,6,0)))+IF(N108&lt;=Metadatos!$B$13+1,25,0)+IF(AB108="Sí",15,0)+IF(AA108="No responde",-10,0),IF(Y108="Incumplido",40,0)+IF(AND(W108="Sí",X108=Metadatos!$B$13),35,0)+IF(V108&gt;=20000,25,IF(V108&gt;=10000,18,IF(V108&gt;=5000,10,0)))+IF(U108&gt;=15,25,IF(U108&gt;=6,20,IF(U108&gt;=3,10,0)))+IF(Z108&gt;=3,20,IF(Z108&gt;=2,10,0))+IF(AA108="Respondió",-10,0)+IF(AND(Y108="Vigente",X108&gt;Metadatos!$B$13),-10,0))</x:f>
        <x:v>70</x:v>
      </x:c>
      <x:c r="AE108" s="39" t="str">
        <x:f>IF(AD108&gt;=70,"P1",IF(AD108&gt;=50,"P2",IF(AD108&gt;=30,"P3","P4")))</x:f>
        <x:v>P1</x:v>
      </x:c>
      <x:c r="AF108" s="39" t="str">
        <x:v>Interés alto y monto comercial alto</x:v>
      </x:c>
      <x:c r="AG108" s="39" t="str">
        <x:v>Pendiente</x:v>
      </x:c>
      <x:c r="AH108" s="39" t="str">
        <x:v>https://www.google.com/maps?q=-5.206126,-80.586679</x:v>
      </x:c>
      <x:c r="AI108" s="39" t="str">
        <x:v>SINTÉTICO</x:v>
      </x:c>
    </x:row>
    <x:row r="109">
      <x:c r="A109" s="39" t="str">
        <x:v>CLI-108</x:v>
      </x:c>
      <x:c r="B109" s="39" t="str">
        <x:v>Cliente 108</x:v>
      </x:c>
      <x:c r="C109" s="39" t="str">
        <x:v>COBRANZA</x:v>
      </x:c>
      <x:c r="D109" s="39" t="str">
        <x:v>Deudor</x:v>
      </x:c>
      <x:c r="E109" s="39" t="str">
        <x:v>Cobranza de crédito</x:v>
      </x:c>
      <x:c r="F109" s="39" t="str">
        <x:v>Recuperación</x:v>
      </x:c>
      <x:c r="G109" s="40" t="n">
        <x:v>-5.205985</x:v>
      </x:c>
      <x:c r="H109" s="40" t="n">
        <x:v>-80.649974</x:v>
      </x:c>
      <x:c r="I109" s="39" t="str">
        <x:v>Castilla</x:v>
      </x:c>
      <x:c r="J109" s="39" t="str">
        <x:v>Piura</x:v>
      </x:c>
      <x:c r="K109" s="39" t="str">
        <x:v>AG03</x:v>
      </x:c>
      <x:c r="L109" s="39" t="str">
        <x:v>Mibanco Castilla</x:v>
      </x:c>
      <x:c r="M109" s="41" t="n">
        <x:v>3.46</x:v>
      </x:c>
      <x:c r="N109" s="42" t="n">
        <x:v>46291</x:v>
      </x:c>
      <x:c r="O109" s="43" t="n">
        <x:v>0.4166666666666667</x:v>
      </x:c>
      <x:c r="P109" s="43" t="n">
        <x:v>0.5</x:v>
      </x:c>
      <x:c r="Q109" s="39" t="n">
        <x:v>30</x:v>
      </x:c>
      <x:c r="R109" s="44" t="n">
        <x:v>0</x:v>
      </x:c>
      <x:c r="S109" s="39" t="str">
        <x:v>No aplica</x:v>
      </x:c>
      <x:c r="T109" s="45" t="n">
        <x:v>0</x:v>
      </x:c>
      <x:c r="U109" s="39" t="n">
        <x:v>5</x:v>
      </x:c>
      <x:c r="V109" s="44" t="n">
        <x:v>6200</x:v>
      </x:c>
      <x:c r="W109" s="39" t="str">
        <x:v>No</x:v>
      </x:c>
      <x:c r="X109" s="42"/>
      <x:c r="Y109" s="39" t="str">
        <x:v>Sin compromiso</x:v>
      </x:c>
      <x:c r="Z109" s="39" t="n">
        <x:v>0</x:v>
      </x:c>
      <x:c r="AA109" s="39" t="str">
        <x:v>Respondió</x:v>
      </x:c>
      <x:c r="AB109" s="39" t="str">
        <x:v>No</x:v>
      </x:c>
      <x:c r="AC109" s="39" t="str">
        <x:v>No</x:v>
      </x:c>
      <x:c r="AD109" s="46" t="n">
        <x:f>IF(C109="COMERCIAL",IF(AC109="Sí",40,0)+IF(D109="Recurrente",15,0)+IF(S109="Alto",25,IF(S109="Medio",12,0))+IF(R109&gt;=30000,20,IF(R109&gt;=10000,12,IF(R109&gt;=5000,6,0)))+IF(N109&lt;=Metadatos!$B$13+1,25,0)+IF(AB109="Sí",15,0)+IF(AA109="No responde",-10,0),IF(Y109="Incumplido",40,0)+IF(AND(W109="Sí",X109=Metadatos!$B$13),35,0)+IF(V109&gt;=20000,25,IF(V109&gt;=10000,18,IF(V109&gt;=5000,10,0)))+IF(U109&gt;=15,25,IF(U109&gt;=6,20,IF(U109&gt;=3,10,0)))+IF(Z109&gt;=3,20,IF(Z109&gt;=2,10,0))+IF(AA109="Respondió",-10,0)+IF(AND(Y109="Vigente",X109&gt;Metadatos!$B$13),-10,0))</x:f>
        <x:v>10</x:v>
      </x:c>
      <x:c r="AE109" s="39" t="str">
        <x:f>IF(AD109&gt;=70,"P1",IF(AD109&gt;=50,"P2",IF(AD109&gt;=30,"P3","P4")))</x:f>
        <x:v>P4</x:v>
      </x:c>
      <x:c r="AF109" s="39" t="str">
        <x:v>Mora reciente con seguimiento programable</x:v>
      </x:c>
      <x:c r="AG109" s="39" t="str">
        <x:v>Pendiente</x:v>
      </x:c>
      <x:c r="AH109" s="39" t="str">
        <x:v>https://www.google.com/maps?q=-5.205985,-80.649974</x:v>
      </x:c>
      <x:c r="AI109" s="39" t="str">
        <x:v>SINTÉTICO</x:v>
      </x:c>
    </x:row>
    <x:row r="110">
      <x:c r="A110" s="39" t="str">
        <x:v>CLI-109</x:v>
      </x:c>
      <x:c r="B110" s="39" t="str">
        <x:v>Cliente 109</x:v>
      </x:c>
      <x:c r="C110" s="39" t="str">
        <x:v>COMERCIAL</x:v>
      </x:c>
      <x:c r="D110" s="39" t="str">
        <x:v>Nuevo</x:v>
      </x:c>
      <x:c r="E110" s="39" t="str">
        <x:v>Ahorro</x:v>
      </x:c>
      <x:c r="F110" s="39" t="str">
        <x:v>Prospecto</x:v>
      </x:c>
      <x:c r="G110" s="40" t="n">
        <x:v>-5.207547</x:v>
      </x:c>
      <x:c r="H110" s="40" t="n">
        <x:v>-80.62603</x:v>
      </x:c>
      <x:c r="I110" s="39" t="str">
        <x:v>Castilla</x:v>
      </x:c>
      <x:c r="J110" s="39" t="str">
        <x:v>Piura</x:v>
      </x:c>
      <x:c r="K110" s="39" t="str">
        <x:v>AG03</x:v>
      </x:c>
      <x:c r="L110" s="39" t="str">
        <x:v>Mibanco Castilla</x:v>
      </x:c>
      <x:c r="M110" s="41" t="n">
        <x:v>1.6</x:v>
      </x:c>
      <x:c r="N110" s="42" t="n">
        <x:v>46293</x:v>
      </x:c>
      <x:c r="O110" s="43" t="n">
        <x:v>0.5416666666666666</x:v>
      </x:c>
      <x:c r="P110" s="43" t="n">
        <x:v>0.625</x:v>
      </x:c>
      <x:c r="Q110" s="39" t="n">
        <x:v>45</x:v>
      </x:c>
      <x:c r="R110" s="44" t="n">
        <x:v>6900</x:v>
      </x:c>
      <x:c r="S110" s="39" t="str">
        <x:v>Bajo</x:v>
      </x:c>
      <x:c r="T110" s="45" t="n">
        <x:v>0.19</x:v>
      </x:c>
      <x:c r="U110" s="39" t="n">
        <x:v>0</x:v>
      </x:c>
      <x:c r="V110" s="44" t="n">
        <x:v>0</x:v>
      </x:c>
      <x:c r="W110" s="39" t="str">
        <x:v>No</x:v>
      </x:c>
      <x:c r="X110" s="42"/>
      <x:c r="Y110" s="39" t="str">
        <x:v>No aplica</x:v>
      </x:c>
      <x:c r="Z110" s="39" t="n">
        <x:v>0</x:v>
      </x:c>
      <x:c r="AA110" s="39" t="str">
        <x:v>Respondió</x:v>
      </x:c>
      <x:c r="AB110" s="39" t="str">
        <x:v>No</x:v>
      </x:c>
      <x:c r="AC110" s="39" t="str">
        <x:v>No</x:v>
      </x:c>
      <x:c r="AD110" s="46" t="n">
        <x:f>IF(C110="COMERCIAL",IF(AC110="Sí",40,0)+IF(D110="Recurrente",15,0)+IF(S110="Alto",25,IF(S110="Medio",12,0))+IF(R110&gt;=30000,20,IF(R110&gt;=10000,12,IF(R110&gt;=5000,6,0)))+IF(N110&lt;=Metadatos!$B$13+1,25,0)+IF(AB110="Sí",15,0)+IF(AA110="No responde",-10,0),IF(Y110="Incumplido",40,0)+IF(AND(W110="Sí",X110=Metadatos!$B$13),35,0)+IF(V110&gt;=20000,25,IF(V110&gt;=10000,18,IF(V110&gt;=5000,10,0)))+IF(U110&gt;=15,25,IF(U110&gt;=6,20,IF(U110&gt;=3,10,0)))+IF(Z110&gt;=3,20,IF(Z110&gt;=2,10,0))+IF(AA110="Respondió",-10,0)+IF(AND(Y110="Vigente",X110&gt;Metadatos!$B$13),-10,0))</x:f>
        <x:v>6</x:v>
      </x:c>
      <x:c r="AE110" s="39" t="str">
        <x:f>IF(AD110&gt;=70,"P1",IF(AD110&gt;=50,"P2",IF(AD110&gt;=30,"P3","P4")))</x:f>
        <x:v>P4</x:v>
      </x:c>
      <x:c r="AF110" s="39" t="str">
        <x:v>Prospecto sin urgencia inmediata</x:v>
      </x:c>
      <x:c r="AG110" s="39" t="str">
        <x:v>Pendiente</x:v>
      </x:c>
      <x:c r="AH110" s="39" t="str">
        <x:v>https://www.google.com/maps?q=-5.207547,-80.626030</x:v>
      </x:c>
      <x:c r="AI110" s="39" t="str">
        <x:v>SINTÉTICO</x:v>
      </x:c>
    </x:row>
    <x:row r="111">
      <x:c r="A111" s="39" t="str">
        <x:v>CLI-110</x:v>
      </x:c>
      <x:c r="B111" s="39" t="str">
        <x:v>Cliente 110</x:v>
      </x:c>
      <x:c r="C111" s="39" t="str">
        <x:v>COBRANZA</x:v>
      </x:c>
      <x:c r="D111" s="39" t="str">
        <x:v>Deudor</x:v>
      </x:c>
      <x:c r="E111" s="39" t="str">
        <x:v>Cobranza de crédito</x:v>
      </x:c>
      <x:c r="F111" s="39" t="str">
        <x:v>Recuperación</x:v>
      </x:c>
      <x:c r="G111" s="40" t="n">
        <x:v>-5.220752</x:v>
      </x:c>
      <x:c r="H111" s="40" t="n">
        <x:v>-80.610624</x:v>
      </x:c>
      <x:c r="I111" s="39" t="str">
        <x:v>Castilla</x:v>
      </x:c>
      <x:c r="J111" s="39" t="str">
        <x:v>Piura</x:v>
      </x:c>
      <x:c r="K111" s="39" t="str">
        <x:v>AG03</x:v>
      </x:c>
      <x:c r="L111" s="39" t="str">
        <x:v>Mibanco Castilla</x:v>
      </x:c>
      <x:c r="M111" s="41" t="n">
        <x:v>3.2</x:v>
      </x:c>
      <x:c r="N111" s="42" t="n">
        <x:v>46292</x:v>
      </x:c>
      <x:c r="O111" s="43" t="n">
        <x:v>0.375</x:v>
      </x:c>
      <x:c r="P111" s="43" t="n">
        <x:v>0.4166666666666667</x:v>
      </x:c>
      <x:c r="Q111" s="39" t="n">
        <x:v>45</x:v>
      </x:c>
      <x:c r="R111" s="44" t="n">
        <x:v>0</x:v>
      </x:c>
      <x:c r="S111" s="39" t="str">
        <x:v>No aplica</x:v>
      </x:c>
      <x:c r="T111" s="45" t="n">
        <x:v>0</x:v>
      </x:c>
      <x:c r="U111" s="39" t="n">
        <x:v>8</x:v>
      </x:c>
      <x:c r="V111" s="44" t="n">
        <x:v>31700</x:v>
      </x:c>
      <x:c r="W111" s="39" t="str">
        <x:v>No</x:v>
      </x:c>
      <x:c r="X111" s="42"/>
      <x:c r="Y111" s="39" t="str">
        <x:v>Sin compromiso</x:v>
      </x:c>
      <x:c r="Z111" s="39" t="n">
        <x:v>3</x:v>
      </x:c>
      <x:c r="AA111" s="39" t="str">
        <x:v>No responde</x:v>
      </x:c>
      <x:c r="AB111" s="39" t="str">
        <x:v>No</x:v>
      </x:c>
      <x:c r="AC111" s="39" t="str">
        <x:v>No</x:v>
      </x:c>
      <x:c r="AD111" s="46" t="n">
        <x:f>IF(C111="COMERCIAL",IF(AC111="Sí",40,0)+IF(D111="Recurrente",15,0)+IF(S111="Alto",25,IF(S111="Medio",12,0))+IF(R111&gt;=30000,20,IF(R111&gt;=10000,12,IF(R111&gt;=5000,6,0)))+IF(N111&lt;=Metadatos!$B$13+1,25,0)+IF(AB111="Sí",15,0)+IF(AA111="No responde",-10,0),IF(Y111="Incumplido",40,0)+IF(AND(W111="Sí",X111=Metadatos!$B$13),35,0)+IF(V111&gt;=20000,25,IF(V111&gt;=10000,18,IF(V111&gt;=5000,10,0)))+IF(U111&gt;=15,25,IF(U111&gt;=6,20,IF(U111&gt;=3,10,0)))+IF(Z111&gt;=3,20,IF(Z111&gt;=2,10,0))+IF(AA111="Respondió",-10,0)+IF(AND(Y111="Vigente",X111&gt;Metadatos!$B$13),-10,0))</x:f>
        <x:v>65</x:v>
      </x:c>
      <x:c r="AE111" s="39" t="str">
        <x:f>IF(AD111&gt;=70,"P1",IF(AD111&gt;=50,"P2",IF(AD111&gt;=30,"P3","P4")))</x:f>
        <x:v>P2</x:v>
      </x:c>
      <x:c r="AF111" s="39" t="str">
        <x:v>Varios intentos sin respuesta</x:v>
      </x:c>
      <x:c r="AG111" s="39" t="str">
        <x:v>Pendiente</x:v>
      </x:c>
      <x:c r="AH111" s="39" t="str">
        <x:v>https://www.google.com/maps?q=-5.220752,-80.610624</x:v>
      </x:c>
      <x:c r="AI111" s="39" t="str">
        <x:v>SINTÉTICO</x:v>
      </x:c>
    </x:row>
    <x:row r="112">
      <x:c r="A112" s="39" t="str">
        <x:v>CLI-111</x:v>
      </x:c>
      <x:c r="B112" s="39" t="str">
        <x:v>Cliente 111</x:v>
      </x:c>
      <x:c r="C112" s="39" t="str">
        <x:v>COMERCIAL</x:v>
      </x:c>
      <x:c r="D112" s="39" t="str">
        <x:v>Recurrente</x:v>
      </x:c>
      <x:c r="E112" s="39" t="str">
        <x:v>Capital de trabajo</x:v>
      </x:c>
      <x:c r="F112" s="39" t="str">
        <x:v>Negociación</x:v>
      </x:c>
      <x:c r="G112" s="40" t="n">
        <x:v>-5.161307</x:v>
      </x:c>
      <x:c r="H112" s="40" t="n">
        <x:v>-80.606385</x:v>
      </x:c>
      <x:c r="I112" s="39" t="str">
        <x:v>Castilla</x:v>
      </x:c>
      <x:c r="J112" s="39" t="str">
        <x:v>Piura</x:v>
      </x:c>
      <x:c r="K112" s="39" t="str">
        <x:v>AG03</x:v>
      </x:c>
      <x:c r="L112" s="39" t="str">
        <x:v>Mibanco Castilla</x:v>
      </x:c>
      <x:c r="M112" s="41" t="n">
        <x:v>4</x:v>
      </x:c>
      <x:c r="N112" s="42" t="n">
        <x:v>46292</x:v>
      </x:c>
      <x:c r="O112" s="43" t="n">
        <x:v>0.5416666666666666</x:v>
      </x:c>
      <x:c r="P112" s="43" t="n">
        <x:v>0.6041666666666666</x:v>
      </x:c>
      <x:c r="Q112" s="39" t="n">
        <x:v>35</x:v>
      </x:c>
      <x:c r="R112" s="44" t="n">
        <x:v>37200</x:v>
      </x:c>
      <x:c r="S112" s="39" t="str">
        <x:v>Alto</x:v>
      </x:c>
      <x:c r="T112" s="45" t="n">
        <x:v>0.76</x:v>
      </x:c>
      <x:c r="U112" s="39" t="n">
        <x:v>0</x:v>
      </x:c>
      <x:c r="V112" s="44" t="n">
        <x:v>0</x:v>
      </x:c>
      <x:c r="W112" s="39" t="str">
        <x:v>No</x:v>
      </x:c>
      <x:c r="X112" s="42"/>
      <x:c r="Y112" s="39" t="str">
        <x:v>No aplica</x:v>
      </x:c>
      <x:c r="Z112" s="39" t="n">
        <x:v>0</x:v>
      </x:c>
      <x:c r="AA112" s="39" t="str">
        <x:v>Respondió</x:v>
      </x:c>
      <x:c r="AB112" s="39" t="str">
        <x:v>Sí</x:v>
      </x:c>
      <x:c r="AC112" s="39" t="str">
        <x:v>No</x:v>
      </x:c>
      <x:c r="AD112" s="46" t="n">
        <x:f>IF(C112="COMERCIAL",IF(AC112="Sí",40,0)+IF(D112="Recurrente",15,0)+IF(S112="Alto",25,IF(S112="Medio",12,0))+IF(R112&gt;=30000,20,IF(R112&gt;=10000,12,IF(R112&gt;=5000,6,0)))+IF(N112&lt;=Metadatos!$B$13+1,25,0)+IF(AB112="Sí",15,0)+IF(AA112="No responde",-10,0),IF(Y112="Incumplido",40,0)+IF(AND(W112="Sí",X112=Metadatos!$B$13),35,0)+IF(V112&gt;=20000,25,IF(V112&gt;=10000,18,IF(V112&gt;=5000,10,0)))+IF(U112&gt;=15,25,IF(U112&gt;=6,20,IF(U112&gt;=3,10,0)))+IF(Z112&gt;=3,20,IF(Z112&gt;=2,10,0))+IF(AA112="Respondió",-10,0)+IF(AND(Y112="Vigente",X112&gt;Metadatos!$B$13),-10,0))</x:f>
        <x:v>100</x:v>
      </x:c>
      <x:c r="AE112" s="39" t="str">
        <x:f>IF(AD112&gt;=70,"P1",IF(AD112&gt;=50,"P2",IF(AD112&gt;=30,"P3","P4")))</x:f>
        <x:v>P1</x:v>
      </x:c>
      <x:c r="AF112" s="39" t="str">
        <x:v>Interés alto y monto comercial alto</x:v>
      </x:c>
      <x:c r="AG112" s="39" t="str">
        <x:v>Pendiente</x:v>
      </x:c>
      <x:c r="AH112" s="39" t="str">
        <x:v>https://www.google.com/maps?q=-5.161307,-80.606385</x:v>
      </x:c>
      <x:c r="AI112" s="39" t="str">
        <x:v>SINTÉTICO</x:v>
      </x:c>
    </x:row>
    <x:row r="113">
      <x:c r="A113" s="39" t="str">
        <x:v>CLI-112</x:v>
      </x:c>
      <x:c r="B113" s="39" t="str">
        <x:v>Cliente 112</x:v>
      </x:c>
      <x:c r="C113" s="39" t="str">
        <x:v>COBRANZA</x:v>
      </x:c>
      <x:c r="D113" s="39" t="str">
        <x:v>Deudor</x:v>
      </x:c>
      <x:c r="E113" s="39" t="str">
        <x:v>Cobranza de crédito</x:v>
      </x:c>
      <x:c r="F113" s="39" t="str">
        <x:v>Recuperación</x:v>
      </x:c>
      <x:c r="G113" s="40" t="n">
        <x:v>-5.205139</x:v>
      </x:c>
      <x:c r="H113" s="40" t="n">
        <x:v>-80.646472</x:v>
      </x:c>
      <x:c r="I113" s="39" t="str">
        <x:v>Castilla</x:v>
      </x:c>
      <x:c r="J113" s="39" t="str">
        <x:v>Piura</x:v>
      </x:c>
      <x:c r="K113" s="39" t="str">
        <x:v>AG03</x:v>
      </x:c>
      <x:c r="L113" s="39" t="str">
        <x:v>Mibanco Castilla</x:v>
      </x:c>
      <x:c r="M113" s="41" t="n">
        <x:v>3.06</x:v>
      </x:c>
      <x:c r="N113" s="42" t="n">
        <x:v>46291</x:v>
      </x:c>
      <x:c r="O113" s="43" t="n">
        <x:v>0.4791666666666667</x:v>
      </x:c>
      <x:c r="P113" s="43" t="n">
        <x:v>0.5416666666666666</x:v>
      </x:c>
      <x:c r="Q113" s="39" t="n">
        <x:v>30</x:v>
      </x:c>
      <x:c r="R113" s="44" t="n">
        <x:v>0</x:v>
      </x:c>
      <x:c r="S113" s="39" t="str">
        <x:v>No aplica</x:v>
      </x:c>
      <x:c r="T113" s="45" t="n">
        <x:v>0</x:v>
      </x:c>
      <x:c r="U113" s="39" t="n">
        <x:v>28</x:v>
      </x:c>
      <x:c r="V113" s="44" t="n">
        <x:v>6300</x:v>
      </x:c>
      <x:c r="W113" s="39" t="str">
        <x:v>No</x:v>
      </x:c>
      <x:c r="X113" s="42"/>
      <x:c r="Y113" s="39" t="str">
        <x:v>Sin compromiso</x:v>
      </x:c>
      <x:c r="Z113" s="39" t="n">
        <x:v>3</x:v>
      </x:c>
      <x:c r="AA113" s="39" t="str">
        <x:v>No responde</x:v>
      </x:c>
      <x:c r="AB113" s="39" t="str">
        <x:v>No</x:v>
      </x:c>
      <x:c r="AC113" s="39" t="str">
        <x:v>No</x:v>
      </x:c>
      <x:c r="AD113" s="46" t="n">
        <x:f>IF(C113="COMERCIAL",IF(AC113="Sí",40,0)+IF(D113="Recurrente",15,0)+IF(S113="Alto",25,IF(S113="Medio",12,0))+IF(R113&gt;=30000,20,IF(R113&gt;=10000,12,IF(R113&gt;=5000,6,0)))+IF(N113&lt;=Metadatos!$B$13+1,25,0)+IF(AB113="Sí",15,0)+IF(AA113="No responde",-10,0),IF(Y113="Incumplido",40,0)+IF(AND(W113="Sí",X113=Metadatos!$B$13),35,0)+IF(V113&gt;=20000,25,IF(V113&gt;=10000,18,IF(V113&gt;=5000,10,0)))+IF(U113&gt;=15,25,IF(U113&gt;=6,20,IF(U113&gt;=3,10,0)))+IF(Z113&gt;=3,20,IF(Z113&gt;=2,10,0))+IF(AA113="Respondió",-10,0)+IF(AND(Y113="Vigente",X113&gt;Metadatos!$B$13),-10,0))</x:f>
        <x:v>55</x:v>
      </x:c>
      <x:c r="AE113" s="39" t="str">
        <x:f>IF(AD113&gt;=70,"P1",IF(AD113&gt;=50,"P2",IF(AD113&gt;=30,"P3","P4")))</x:f>
        <x:v>P2</x:v>
      </x:c>
      <x:c r="AF113" s="39" t="str">
        <x:v>Varios intentos sin respuesta</x:v>
      </x:c>
      <x:c r="AG113" s="39" t="str">
        <x:v>Pendiente</x:v>
      </x:c>
      <x:c r="AH113" s="39" t="str">
        <x:v>https://www.google.com/maps?q=-5.205139,-80.646472</x:v>
      </x:c>
      <x:c r="AI113" s="39" t="str">
        <x:v>SINTÉTICO</x:v>
      </x:c>
    </x:row>
    <x:row r="114">
      <x:c r="A114" s="39" t="str">
        <x:v>CLI-113</x:v>
      </x:c>
      <x:c r="B114" s="39" t="str">
        <x:v>Cliente 113</x:v>
      </x:c>
      <x:c r="C114" s="39" t="str">
        <x:v>COMERCIAL</x:v>
      </x:c>
      <x:c r="D114" s="39" t="str">
        <x:v>Recurrente</x:v>
      </x:c>
      <x:c r="E114" s="39" t="str">
        <x:v>Capital de trabajo</x:v>
      </x:c>
      <x:c r="F114" s="39" t="str">
        <x:v>Contactado</x:v>
      </x:c>
      <x:c r="G114" s="40" t="n">
        <x:v>-5.226979</x:v>
      </x:c>
      <x:c r="H114" s="40" t="n">
        <x:v>-80.616935</x:v>
      </x:c>
      <x:c r="I114" s="39" t="str">
        <x:v>Castilla</x:v>
      </x:c>
      <x:c r="J114" s="39" t="str">
        <x:v>Piura</x:v>
      </x:c>
      <x:c r="K114" s="39" t="str">
        <x:v>AG03</x:v>
      </x:c>
      <x:c r="L114" s="39" t="str">
        <x:v>Mibanco Castilla</x:v>
      </x:c>
      <x:c r="M114" s="41" t="n">
        <x:v>3.7</x:v>
      </x:c>
      <x:c r="N114" s="42" t="n">
        <x:v>46296</x:v>
      </x:c>
      <x:c r="O114" s="43" t="n">
        <x:v>0.4375</x:v>
      </x:c>
      <x:c r="P114" s="43" t="n">
        <x:v>0.5</x:v>
      </x:c>
      <x:c r="Q114" s="39" t="n">
        <x:v>50</x:v>
      </x:c>
      <x:c r="R114" s="44" t="n">
        <x:v>3400</x:v>
      </x:c>
      <x:c r="S114" s="39" t="str">
        <x:v>Bajo</x:v>
      </x:c>
      <x:c r="T114" s="45" t="n">
        <x:v>0.15</x:v>
      </x:c>
      <x:c r="U114" s="39" t="n">
        <x:v>0</x:v>
      </x:c>
      <x:c r="V114" s="44" t="n">
        <x:v>0</x:v>
      </x:c>
      <x:c r="W114" s="39" t="str">
        <x:v>No</x:v>
      </x:c>
      <x:c r="X114" s="42"/>
      <x:c r="Y114" s="39" t="str">
        <x:v>No aplica</x:v>
      </x:c>
      <x:c r="Z114" s="39" t="n">
        <x:v>0</x:v>
      </x:c>
      <x:c r="AA114" s="39" t="str">
        <x:v>Respondió</x:v>
      </x:c>
      <x:c r="AB114" s="39" t="str">
        <x:v>No</x:v>
      </x:c>
      <x:c r="AC114" s="39" t="str">
        <x:v>No</x:v>
      </x:c>
      <x:c r="AD114" s="46" t="n">
        <x:f>IF(C114="COMERCIAL",IF(AC114="Sí",40,0)+IF(D114="Recurrente",15,0)+IF(S114="Alto",25,IF(S114="Medio",12,0))+IF(R114&gt;=30000,20,IF(R114&gt;=10000,12,IF(R114&gt;=5000,6,0)))+IF(N114&lt;=Metadatos!$B$13+1,25,0)+IF(AB114="Sí",15,0)+IF(AA114="No responde",-10,0),IF(Y114="Incumplido",40,0)+IF(AND(W114="Sí",X114=Metadatos!$B$13),35,0)+IF(V114&gt;=20000,25,IF(V114&gt;=10000,18,IF(V114&gt;=5000,10,0)))+IF(U114&gt;=15,25,IF(U114&gt;=6,20,IF(U114&gt;=3,10,0)))+IF(Z114&gt;=3,20,IF(Z114&gt;=2,10,0))+IF(AA114="Respondió",-10,0)+IF(AND(Y114="Vigente",X114&gt;Metadatos!$B$13),-10,0))</x:f>
        <x:v>15</x:v>
      </x:c>
      <x:c r="AE114" s="39" t="str">
        <x:f>IF(AD114&gt;=70,"P1",IF(AD114&gt;=50,"P2",IF(AD114&gt;=30,"P3","P4")))</x:f>
        <x:v>P4</x:v>
      </x:c>
      <x:c r="AF114" s="39" t="str">
        <x:v>Prospecto sin urgencia inmediata</x:v>
      </x:c>
      <x:c r="AG114" s="39" t="str">
        <x:v>Pendiente</x:v>
      </x:c>
      <x:c r="AH114" s="39" t="str">
        <x:v>https://www.google.com/maps?q=-5.226979,-80.616935</x:v>
      </x:c>
      <x:c r="AI114" s="39" t="str">
        <x:v>SINTÉTICO</x:v>
      </x:c>
    </x:row>
    <x:row r="115">
      <x:c r="A115" s="39" t="str">
        <x:v>CLI-114</x:v>
      </x:c>
      <x:c r="B115" s="39" t="str">
        <x:v>Cliente 114</x:v>
      </x:c>
      <x:c r="C115" s="39" t="str">
        <x:v>COBRANZA</x:v>
      </x:c>
      <x:c r="D115" s="39" t="str">
        <x:v>Deudor</x:v>
      </x:c>
      <x:c r="E115" s="39" t="str">
        <x:v>Cobranza de crédito</x:v>
      </x:c>
      <x:c r="F115" s="39" t="str">
        <x:v>Recuperación</x:v>
      </x:c>
      <x:c r="G115" s="40" t="n">
        <x:v>-5.193479</x:v>
      </x:c>
      <x:c r="H115" s="40" t="n">
        <x:v>-80.630326</x:v>
      </x:c>
      <x:c r="I115" s="39" t="str">
        <x:v>Castilla</x:v>
      </x:c>
      <x:c r="J115" s="39" t="str">
        <x:v>Piura</x:v>
      </x:c>
      <x:c r="K115" s="39" t="str">
        <x:v>AG03</x:v>
      </x:c>
      <x:c r="L115" s="39" t="str">
        <x:v>Mibanco Castilla</x:v>
      </x:c>
      <x:c r="M115" s="41" t="n">
        <x:v>1.01</x:v>
      </x:c>
      <x:c r="N115" s="42" t="n">
        <x:v>46291</x:v>
      </x:c>
      <x:c r="O115" s="43" t="n">
        <x:v>0.5</x:v>
      </x:c>
      <x:c r="P115" s="43" t="n">
        <x:v>0.5625</x:v>
      </x:c>
      <x:c r="Q115" s="39" t="n">
        <x:v>40</x:v>
      </x:c>
      <x:c r="R115" s="44" t="n">
        <x:v>0</x:v>
      </x:c>
      <x:c r="S115" s="39" t="str">
        <x:v>No aplica</x:v>
      </x:c>
      <x:c r="T115" s="45" t="n">
        <x:v>0</x:v>
      </x:c>
      <x:c r="U115" s="39" t="n">
        <x:v>7</x:v>
      </x:c>
      <x:c r="V115" s="44" t="n">
        <x:v>18500</x:v>
      </x:c>
      <x:c r="W115" s="39" t="str">
        <x:v>Sí</x:v>
      </x:c>
      <x:c r="X115" s="42" t="n">
        <x:v>46291</x:v>
      </x:c>
      <x:c r="Y115" s="39" t="str">
        <x:v>Vigente</x:v>
      </x:c>
      <x:c r="Z115" s="39" t="n">
        <x:v>3</x:v>
      </x:c>
      <x:c r="AA115" s="39" t="str">
        <x:v>No responde</x:v>
      </x:c>
      <x:c r="AB115" s="39" t="str">
        <x:v>No</x:v>
      </x:c>
      <x:c r="AC115" s="39" t="str">
        <x:v>Sí</x:v>
      </x:c>
      <x:c r="AD115" s="46" t="n">
        <x:f>IF(C115="COMERCIAL",IF(AC115="Sí",40,0)+IF(D115="Recurrente",15,0)+IF(S115="Alto",25,IF(S115="Medio",12,0))+IF(R115&gt;=30000,20,IF(R115&gt;=10000,12,IF(R115&gt;=5000,6,0)))+IF(N115&lt;=Metadatos!$B$13+1,25,0)+IF(AB115="Sí",15,0)+IF(AA115="No responde",-10,0),IF(Y115="Incumplido",40,0)+IF(AND(W115="Sí",X115=Metadatos!$B$13),35,0)+IF(V115&gt;=20000,25,IF(V115&gt;=10000,18,IF(V115&gt;=5000,10,0)))+IF(U115&gt;=15,25,IF(U115&gt;=6,20,IF(U115&gt;=3,10,0)))+IF(Z115&gt;=3,20,IF(Z115&gt;=2,10,0))+IF(AA115="Respondió",-10,0)+IF(AND(Y115="Vigente",X115&gt;Metadatos!$B$13),-10,0))</x:f>
        <x:v>93</x:v>
      </x:c>
      <x:c r="AE115" s="39" t="str">
        <x:f>IF(AD115&gt;=70,"P1",IF(AD115&gt;=50,"P2",IF(AD115&gt;=30,"P3","P4")))</x:f>
        <x:v>P1</x:v>
      </x:c>
      <x:c r="AF115" s="39" t="str">
        <x:v>Compromiso de pago con vencimiento hoy</x:v>
      </x:c>
      <x:c r="AG115" s="39" t="str">
        <x:v>Programada</x:v>
      </x:c>
      <x:c r="AH115" s="39" t="str">
        <x:v>https://www.google.com/maps?q=-5.193479,-80.630326</x:v>
      </x:c>
      <x:c r="AI115" s="39" t="str">
        <x:v>SINTÉTICO</x:v>
      </x:c>
    </x:row>
    <x:row r="116">
      <x:c r="A116" s="39" t="str">
        <x:v>CLI-115</x:v>
      </x:c>
      <x:c r="B116" s="39" t="str">
        <x:v>Cliente 115</x:v>
      </x:c>
      <x:c r="C116" s="39" t="str">
        <x:v>COMERCIAL</x:v>
      </x:c>
      <x:c r="D116" s="39" t="str">
        <x:v>Recurrente</x:v>
      </x:c>
      <x:c r="E116" s="39" t="str">
        <x:v>Capital de trabajo</x:v>
      </x:c>
      <x:c r="F116" s="39" t="str">
        <x:v>Evaluación</x:v>
      </x:c>
      <x:c r="G116" s="40" t="n">
        <x:v>-5.195479</x:v>
      </x:c>
      <x:c r="H116" s="40" t="n">
        <x:v>-80.606982</x:v>
      </x:c>
      <x:c r="I116" s="39" t="str">
        <x:v>Castilla</x:v>
      </x:c>
      <x:c r="J116" s="39" t="str">
        <x:v>Piura</x:v>
      </x:c>
      <x:c r="K116" s="39" t="str">
        <x:v>AG03</x:v>
      </x:c>
      <x:c r="L116" s="39" t="str">
        <x:v>Mibanco Castilla</x:v>
      </x:c>
      <x:c r="M116" s="41" t="n">
        <x:v>1.59</x:v>
      </x:c>
      <x:c r="N116" s="42" t="n">
        <x:v>46291</x:v>
      </x:c>
      <x:c r="O116" s="43" t="n">
        <x:v>0.6041666666666666</x:v>
      </x:c>
      <x:c r="P116" s="43" t="n">
        <x:v>0.6666666666666666</x:v>
      </x:c>
      <x:c r="Q116" s="39" t="n">
        <x:v>45</x:v>
      </x:c>
      <x:c r="R116" s="44" t="n">
        <x:v>43900</x:v>
      </x:c>
      <x:c r="S116" s="39" t="str">
        <x:v>Alto</x:v>
      </x:c>
      <x:c r="T116" s="45" t="n">
        <x:v>0.89</x:v>
      </x:c>
      <x:c r="U116" s="39" t="n">
        <x:v>0</x:v>
      </x:c>
      <x:c r="V116" s="44" t="n">
        <x:v>0</x:v>
      </x:c>
      <x:c r="W116" s="39" t="str">
        <x:v>No</x:v>
      </x:c>
      <x:c r="X116" s="42"/>
      <x:c r="Y116" s="39" t="str">
        <x:v>No aplica</x:v>
      </x:c>
      <x:c r="Z116" s="39" t="n">
        <x:v>0</x:v>
      </x:c>
      <x:c r="AA116" s="39" t="str">
        <x:v>Respondió</x:v>
      </x:c>
      <x:c r="AB116" s="39" t="str">
        <x:v>Sí</x:v>
      </x:c>
      <x:c r="AC116" s="39" t="str">
        <x:v>Sí</x:v>
      </x:c>
      <x:c r="AD116" s="46" t="n">
        <x:f>IF(C116="COMERCIAL",IF(AC116="Sí",40,0)+IF(D116="Recurrente",15,0)+IF(S116="Alto",25,IF(S116="Medio",12,0))+IF(R116&gt;=30000,20,IF(R116&gt;=10000,12,IF(R116&gt;=5000,6,0)))+IF(N116&lt;=Metadatos!$B$13+1,25,0)+IF(AB116="Sí",15,0)+IF(AA116="No responde",-10,0),IF(Y116="Incumplido",40,0)+IF(AND(W116="Sí",X116=Metadatos!$B$13),35,0)+IF(V116&gt;=20000,25,IF(V116&gt;=10000,18,IF(V116&gt;=5000,10,0)))+IF(U116&gt;=15,25,IF(U116&gt;=6,20,IF(U116&gt;=3,10,0)))+IF(Z116&gt;=3,20,IF(Z116&gt;=2,10,0))+IF(AA116="Respondió",-10,0)+IF(AND(Y116="Vigente",X116&gt;Metadatos!$B$13),-10,0))</x:f>
        <x:v>140</x:v>
      </x:c>
      <x:c r="AE116" s="39" t="str">
        <x:f>IF(AD116&gt;=70,"P1",IF(AD116&gt;=50,"P2",IF(AD116&gt;=30,"P3","P4")))</x:f>
        <x:v>P1</x:v>
      </x:c>
      <x:c r="AF116" s="39" t="str">
        <x:v>Operación prevista hoy y cliente recurrente</x:v>
      </x:c>
      <x:c r="AG116" s="39" t="str">
        <x:v>Pendiente</x:v>
      </x:c>
      <x:c r="AH116" s="39" t="str">
        <x:v>https://www.google.com/maps?q=-5.195479,-80.606982</x:v>
      </x:c>
      <x:c r="AI116" s="39" t="str">
        <x:v>SINTÉTICO</x:v>
      </x:c>
    </x:row>
    <x:row r="117">
      <x:c r="A117" s="39" t="str">
        <x:v>CLI-116</x:v>
      </x:c>
      <x:c r="B117" s="39" t="str">
        <x:v>Cliente 116</x:v>
      </x:c>
      <x:c r="C117" s="39" t="str">
        <x:v>COBRANZA</x:v>
      </x:c>
      <x:c r="D117" s="39" t="str">
        <x:v>Deudor</x:v>
      </x:c>
      <x:c r="E117" s="39" t="str">
        <x:v>Cobranza de crédito</x:v>
      </x:c>
      <x:c r="F117" s="39" t="str">
        <x:v>Recuperación</x:v>
      </x:c>
      <x:c r="G117" s="40" t="n">
        <x:v>-5.197883</x:v>
      </x:c>
      <x:c r="H117" s="40" t="n">
        <x:v>-80.629519</x:v>
      </x:c>
      <x:c r="I117" s="39" t="str">
        <x:v>Castilla</x:v>
      </x:c>
      <x:c r="J117" s="39" t="str">
        <x:v>Piura</x:v>
      </x:c>
      <x:c r="K117" s="39" t="str">
        <x:v>AG03</x:v>
      </x:c>
      <x:c r="L117" s="39" t="str">
        <x:v>Mibanco Castilla</x:v>
      </x:c>
      <x:c r="M117" s="41" t="n">
        <x:v>1.02</x:v>
      </x:c>
      <x:c r="N117" s="42" t="n">
        <x:v>46292</x:v>
      </x:c>
      <x:c r="O117" s="43" t="n">
        <x:v>0.4166666666666667</x:v>
      </x:c>
      <x:c r="P117" s="43" t="n">
        <x:v>0.4791666666666667</x:v>
      </x:c>
      <x:c r="Q117" s="39" t="n">
        <x:v>25</x:v>
      </x:c>
      <x:c r="R117" s="44" t="n">
        <x:v>0</x:v>
      </x:c>
      <x:c r="S117" s="39" t="str">
        <x:v>No aplica</x:v>
      </x:c>
      <x:c r="T117" s="45" t="n">
        <x:v>0</x:v>
      </x:c>
      <x:c r="U117" s="39" t="n">
        <x:v>6</x:v>
      </x:c>
      <x:c r="V117" s="44" t="n">
        <x:v>28700</x:v>
      </x:c>
      <x:c r="W117" s="39" t="str">
        <x:v>No</x:v>
      </x:c>
      <x:c r="X117" s="42"/>
      <x:c r="Y117" s="39" t="str">
        <x:v>Sin compromiso</x:v>
      </x:c>
      <x:c r="Z117" s="39" t="n">
        <x:v>2</x:v>
      </x:c>
      <x:c r="AA117" s="39" t="str">
        <x:v>Respondió</x:v>
      </x:c>
      <x:c r="AB117" s="39" t="str">
        <x:v>No</x:v>
      </x:c>
      <x:c r="AC117" s="39" t="str">
        <x:v>No</x:v>
      </x:c>
      <x:c r="AD117" s="46" t="n">
        <x:f>IF(C117="COMERCIAL",IF(AC117="Sí",40,0)+IF(D117="Recurrente",15,0)+IF(S117="Alto",25,IF(S117="Medio",12,0))+IF(R117&gt;=30000,20,IF(R117&gt;=10000,12,IF(R117&gt;=5000,6,0)))+IF(N117&lt;=Metadatos!$B$13+1,25,0)+IF(AB117="Sí",15,0)+IF(AA117="No responde",-10,0),IF(Y117="Incumplido",40,0)+IF(AND(W117="Sí",X117=Metadatos!$B$13),35,0)+IF(V117&gt;=20000,25,IF(V117&gt;=10000,18,IF(V117&gt;=5000,10,0)))+IF(U117&gt;=15,25,IF(U117&gt;=6,20,IF(U117&gt;=3,10,0)))+IF(Z117&gt;=3,20,IF(Z117&gt;=2,10,0))+IF(AA117="Respondió",-10,0)+IF(AND(Y117="Vigente",X117&gt;Metadatos!$B$13),-10,0))</x:f>
        <x:v>45</x:v>
      </x:c>
      <x:c r="AE117" s="39" t="str">
        <x:f>IF(AD117&gt;=70,"P1",IF(AD117&gt;=50,"P2",IF(AD117&gt;=30,"P3","P4")))</x:f>
        <x:v>P3</x:v>
      </x:c>
      <x:c r="AF117" s="39" t="str">
        <x:v>Seguimiento por días de mora</x:v>
      </x:c>
      <x:c r="AG117" s="39" t="str">
        <x:v>Programada</x:v>
      </x:c>
      <x:c r="AH117" s="39" t="str">
        <x:v>https://www.google.com/maps?q=-5.197883,-80.629519</x:v>
      </x:c>
      <x:c r="AI117" s="39" t="str">
        <x:v>SINTÉTICO</x:v>
      </x:c>
    </x:row>
    <x:row r="118">
      <x:c r="A118" s="39" t="str">
        <x:v>CLI-117</x:v>
      </x:c>
      <x:c r="B118" s="39" t="str">
        <x:v>Cliente 117</x:v>
      </x:c>
      <x:c r="C118" s="39" t="str">
        <x:v>COMERCIAL</x:v>
      </x:c>
      <x:c r="D118" s="39" t="str">
        <x:v>Recurrente</x:v>
      </x:c>
      <x:c r="E118" s="39" t="str">
        <x:v>Ahorro</x:v>
      </x:c>
      <x:c r="F118" s="39" t="str">
        <x:v>Prospecto</x:v>
      </x:c>
      <x:c r="G118" s="40" t="n">
        <x:v>-5.187996</x:v>
      </x:c>
      <x:c r="H118" s="40" t="n">
        <x:v>-80.655896</x:v>
      </x:c>
      <x:c r="I118" s="39" t="str">
        <x:v>Castilla</x:v>
      </x:c>
      <x:c r="J118" s="39" t="str">
        <x:v>Piura</x:v>
      </x:c>
      <x:c r="K118" s="39" t="str">
        <x:v>AG03</x:v>
      </x:c>
      <x:c r="L118" s="39" t="str">
        <x:v>Mibanco Castilla</x:v>
      </x:c>
      <x:c r="M118" s="41" t="n">
        <x:v>3.9</x:v>
      </x:c>
      <x:c r="N118" s="42" t="n">
        <x:v>46294</x:v>
      </x:c>
      <x:c r="O118" s="43" t="n">
        <x:v>0.5625</x:v>
      </x:c>
      <x:c r="P118" s="43" t="n">
        <x:v>0.625</x:v>
      </x:c>
      <x:c r="Q118" s="39" t="n">
        <x:v>60</x:v>
      </x:c>
      <x:c r="R118" s="44" t="n">
        <x:v>46900</x:v>
      </x:c>
      <x:c r="S118" s="39" t="str">
        <x:v>Bajo</x:v>
      </x:c>
      <x:c r="T118" s="45" t="n">
        <x:v>0.18</x:v>
      </x:c>
      <x:c r="U118" s="39" t="n">
        <x:v>0</x:v>
      </x:c>
      <x:c r="V118" s="44" t="n">
        <x:v>0</x:v>
      </x:c>
      <x:c r="W118" s="39" t="str">
        <x:v>No</x:v>
      </x:c>
      <x:c r="X118" s="42"/>
      <x:c r="Y118" s="39" t="str">
        <x:v>No aplica</x:v>
      </x:c>
      <x:c r="Z118" s="39" t="n">
        <x:v>0</x:v>
      </x:c>
      <x:c r="AA118" s="39" t="str">
        <x:v>No responde</x:v>
      </x:c>
      <x:c r="AB118" s="39" t="str">
        <x:v>No</x:v>
      </x:c>
      <x:c r="AC118" s="39" t="str">
        <x:v>No</x:v>
      </x:c>
      <x:c r="AD118" s="46" t="n">
        <x:f>IF(C118="COMERCIAL",IF(AC118="Sí",40,0)+IF(D118="Recurrente",15,0)+IF(S118="Alto",25,IF(S118="Medio",12,0))+IF(R118&gt;=30000,20,IF(R118&gt;=10000,12,IF(R118&gt;=5000,6,0)))+IF(N118&lt;=Metadatos!$B$13+1,25,0)+IF(AB118="Sí",15,0)+IF(AA118="No responde",-10,0),IF(Y118="Incumplido",40,0)+IF(AND(W118="Sí",X118=Metadatos!$B$13),35,0)+IF(V118&gt;=20000,25,IF(V118&gt;=10000,18,IF(V118&gt;=5000,10,0)))+IF(U118&gt;=15,25,IF(U118&gt;=6,20,IF(U118&gt;=3,10,0)))+IF(Z118&gt;=3,20,IF(Z118&gt;=2,10,0))+IF(AA118="Respondió",-10,0)+IF(AND(Y118="Vigente",X118&gt;Metadatos!$B$13),-10,0))</x:f>
        <x:v>25</x:v>
      </x:c>
      <x:c r="AE118" s="39" t="str">
        <x:f>IF(AD118&gt;=70,"P1",IF(AD118&gt;=50,"P2",IF(AD118&gt;=30,"P3","P4")))</x:f>
        <x:v>P4</x:v>
      </x:c>
      <x:c r="AF118" s="39" t="str">
        <x:v>Prospecto sin urgencia inmediata</x:v>
      </x:c>
      <x:c r="AG118" s="39" t="str">
        <x:v>Pendiente</x:v>
      </x:c>
      <x:c r="AH118" s="39" t="str">
        <x:v>https://www.google.com/maps?q=-5.187996,-80.655896</x:v>
      </x:c>
      <x:c r="AI118" s="39" t="str">
        <x:v>SINTÉTICO</x:v>
      </x:c>
    </x:row>
    <x:row r="119">
      <x:c r="A119" s="39" t="str">
        <x:v>CLI-118</x:v>
      </x:c>
      <x:c r="B119" s="39" t="str">
        <x:v>Cliente 118</x:v>
      </x:c>
      <x:c r="C119" s="39" t="str">
        <x:v>COBRANZA</x:v>
      </x:c>
      <x:c r="D119" s="39" t="str">
        <x:v>Deudor</x:v>
      </x:c>
      <x:c r="E119" s="39" t="str">
        <x:v>Cobranza de crédito</x:v>
      </x:c>
      <x:c r="F119" s="39" t="str">
        <x:v>Recuperación</x:v>
      </x:c>
      <x:c r="G119" s="40" t="n">
        <x:v>-5.216417</x:v>
      </x:c>
      <x:c r="H119" s="40" t="n">
        <x:v>-80.615423</x:v>
      </x:c>
      <x:c r="I119" s="39" t="str">
        <x:v>Castilla</x:v>
      </x:c>
      <x:c r="J119" s="39" t="str">
        <x:v>Piura</x:v>
      </x:c>
      <x:c r="K119" s="39" t="str">
        <x:v>AG03</x:v>
      </x:c>
      <x:c r="L119" s="39" t="str">
        <x:v>Mibanco Castilla</x:v>
      </x:c>
      <x:c r="M119" s="41" t="n">
        <x:v>2.57</x:v>
      </x:c>
      <x:c r="N119" s="42" t="n">
        <x:v>46292</x:v>
      </x:c>
      <x:c r="O119" s="43" t="n">
        <x:v>0.3958333333333333</x:v>
      </x:c>
      <x:c r="P119" s="43" t="n">
        <x:v>0.4375</x:v>
      </x:c>
      <x:c r="Q119" s="39" t="n">
        <x:v>50</x:v>
      </x:c>
      <x:c r="R119" s="44" t="n">
        <x:v>0</x:v>
      </x:c>
      <x:c r="S119" s="39" t="str">
        <x:v>No aplica</x:v>
      </x:c>
      <x:c r="T119" s="45" t="n">
        <x:v>0</x:v>
      </x:c>
      <x:c r="U119" s="39" t="n">
        <x:v>8</x:v>
      </x:c>
      <x:c r="V119" s="44" t="n">
        <x:v>16900</x:v>
      </x:c>
      <x:c r="W119" s="39" t="str">
        <x:v>No</x:v>
      </x:c>
      <x:c r="X119" s="42"/>
      <x:c r="Y119" s="39" t="str">
        <x:v>Sin compromiso</x:v>
      </x:c>
      <x:c r="Z119" s="39" t="n">
        <x:v>1</x:v>
      </x:c>
      <x:c r="AA119" s="39" t="str">
        <x:v>No responde</x:v>
      </x:c>
      <x:c r="AB119" s="39" t="str">
        <x:v>No</x:v>
      </x:c>
      <x:c r="AC119" s="39" t="str">
        <x:v>No</x:v>
      </x:c>
      <x:c r="AD119" s="46" t="n">
        <x:f>IF(C119="COMERCIAL",IF(AC119="Sí",40,0)+IF(D119="Recurrente",15,0)+IF(S119="Alto",25,IF(S119="Medio",12,0))+IF(R119&gt;=30000,20,IF(R119&gt;=10000,12,IF(R119&gt;=5000,6,0)))+IF(N119&lt;=Metadatos!$B$13+1,25,0)+IF(AB119="Sí",15,0)+IF(AA119="No responde",-10,0),IF(Y119="Incumplido",40,0)+IF(AND(W119="Sí",X119=Metadatos!$B$13),35,0)+IF(V119&gt;=20000,25,IF(V119&gt;=10000,18,IF(V119&gt;=5000,10,0)))+IF(U119&gt;=15,25,IF(U119&gt;=6,20,IF(U119&gt;=3,10,0)))+IF(Z119&gt;=3,20,IF(Z119&gt;=2,10,0))+IF(AA119="Respondió",-10,0)+IF(AND(Y119="Vigente",X119&gt;Metadatos!$B$13),-10,0))</x:f>
        <x:v>38</x:v>
      </x:c>
      <x:c r="AE119" s="39" t="str">
        <x:f>IF(AD119&gt;=70,"P1",IF(AD119&gt;=50,"P2",IF(AD119&gt;=30,"P3","P4")))</x:f>
        <x:v>P3</x:v>
      </x:c>
      <x:c r="AF119" s="39" t="str">
        <x:v>Seguimiento por días de mora</x:v>
      </x:c>
      <x:c r="AG119" s="39" t="str">
        <x:v>Pendiente</x:v>
      </x:c>
      <x:c r="AH119" s="39" t="str">
        <x:v>https://www.google.com/maps?q=-5.216417,-80.615423</x:v>
      </x:c>
      <x:c r="AI119" s="39" t="str">
        <x:v>SINTÉTICO</x:v>
      </x:c>
    </x:row>
    <x:row r="120">
      <x:c r="A120" s="39" t="str">
        <x:v>CLI-119</x:v>
      </x:c>
      <x:c r="B120" s="39" t="str">
        <x:v>Cliente 119</x:v>
      </x:c>
      <x:c r="C120" s="39" t="str">
        <x:v>COMERCIAL</x:v>
      </x:c>
      <x:c r="D120" s="39" t="str">
        <x:v>Recurrente</x:v>
      </x:c>
      <x:c r="E120" s="39" t="str">
        <x:v>Seguro</x:v>
      </x:c>
      <x:c r="F120" s="39" t="str">
        <x:v>Prospecto</x:v>
      </x:c>
      <x:c r="G120" s="40" t="n">
        <x:v>-5.185975</x:v>
      </x:c>
      <x:c r="H120" s="40" t="n">
        <x:v>-80.637216</x:v>
      </x:c>
      <x:c r="I120" s="39" t="str">
        <x:v>Castilla</x:v>
      </x:c>
      <x:c r="J120" s="39" t="str">
        <x:v>Piura</x:v>
      </x:c>
      <x:c r="K120" s="39" t="str">
        <x:v>AG03</x:v>
      </x:c>
      <x:c r="L120" s="39" t="str">
        <x:v>Mibanco Castilla</x:v>
      </x:c>
      <x:c r="M120" s="41" t="n">
        <x:v>1.99</x:v>
      </x:c>
      <x:c r="N120" s="42" t="n">
        <x:v>46293</x:v>
      </x:c>
      <x:c r="O120" s="43" t="n">
        <x:v>0.5208333333333334</x:v>
      </x:c>
      <x:c r="P120" s="43" t="n">
        <x:v>0.5625</x:v>
      </x:c>
      <x:c r="Q120" s="39" t="n">
        <x:v>30</x:v>
      </x:c>
      <x:c r="R120" s="44" t="n">
        <x:v>7900</x:v>
      </x:c>
      <x:c r="S120" s="39" t="str">
        <x:v>Bajo</x:v>
      </x:c>
      <x:c r="T120" s="45" t="n">
        <x:v>0.15</x:v>
      </x:c>
      <x:c r="U120" s="39" t="n">
        <x:v>0</x:v>
      </x:c>
      <x:c r="V120" s="44" t="n">
        <x:v>0</x:v>
      </x:c>
      <x:c r="W120" s="39" t="str">
        <x:v>No</x:v>
      </x:c>
      <x:c r="X120" s="42"/>
      <x:c r="Y120" s="39" t="str">
        <x:v>No aplica</x:v>
      </x:c>
      <x:c r="Z120" s="39" t="n">
        <x:v>0</x:v>
      </x:c>
      <x:c r="AA120" s="39" t="str">
        <x:v>Respondió</x:v>
      </x:c>
      <x:c r="AB120" s="39" t="str">
        <x:v>No</x:v>
      </x:c>
      <x:c r="AC120" s="39" t="str">
        <x:v>No</x:v>
      </x:c>
      <x:c r="AD120" s="46" t="n">
        <x:f>IF(C120="COMERCIAL",IF(AC120="Sí",40,0)+IF(D120="Recurrente",15,0)+IF(S120="Alto",25,IF(S120="Medio",12,0))+IF(R120&gt;=30000,20,IF(R120&gt;=10000,12,IF(R120&gt;=5000,6,0)))+IF(N120&lt;=Metadatos!$B$13+1,25,0)+IF(AB120="Sí",15,0)+IF(AA120="No responde",-10,0),IF(Y120="Incumplido",40,0)+IF(AND(W120="Sí",X120=Metadatos!$B$13),35,0)+IF(V120&gt;=20000,25,IF(V120&gt;=10000,18,IF(V120&gt;=5000,10,0)))+IF(U120&gt;=15,25,IF(U120&gt;=6,20,IF(U120&gt;=3,10,0)))+IF(Z120&gt;=3,20,IF(Z120&gt;=2,10,0))+IF(AA120="Respondió",-10,0)+IF(AND(Y120="Vigente",X120&gt;Metadatos!$B$13),-10,0))</x:f>
        <x:v>21</x:v>
      </x:c>
      <x:c r="AE120" s="39" t="str">
        <x:f>IF(AD120&gt;=70,"P1",IF(AD120&gt;=50,"P2",IF(AD120&gt;=30,"P3","P4")))</x:f>
        <x:v>P4</x:v>
      </x:c>
      <x:c r="AF120" s="39" t="str">
        <x:v>Prospecto sin urgencia inmediata</x:v>
      </x:c>
      <x:c r="AG120" s="39" t="str">
        <x:v>Programada</x:v>
      </x:c>
      <x:c r="AH120" s="39" t="str">
        <x:v>https://www.google.com/maps?q=-5.185975,-80.637216</x:v>
      </x:c>
      <x:c r="AI120" s="39" t="str">
        <x:v>SINTÉTICO</x:v>
      </x:c>
    </x:row>
    <x:row r="121">
      <x:c r="A121" s="39" t="str">
        <x:v>CLI-120</x:v>
      </x:c>
      <x:c r="B121" s="39" t="str">
        <x:v>Cliente 120</x:v>
      </x:c>
      <x:c r="C121" s="39" t="str">
        <x:v>COBRANZA</x:v>
      </x:c>
      <x:c r="D121" s="39" t="str">
        <x:v>Deudor</x:v>
      </x:c>
      <x:c r="E121" s="39" t="str">
        <x:v>Cobranza de crédito</x:v>
      </x:c>
      <x:c r="F121" s="39" t="str">
        <x:v>Recuperación</x:v>
      </x:c>
      <x:c r="G121" s="40" t="n">
        <x:v>-5.171313</x:v>
      </x:c>
      <x:c r="H121" s="40" t="n">
        <x:v>-80.61884</x:v>
      </x:c>
      <x:c r="I121" s="39" t="str">
        <x:v>Castilla</x:v>
      </x:c>
      <x:c r="J121" s="39" t="str">
        <x:v>Piura</x:v>
      </x:c>
      <x:c r="K121" s="39" t="str">
        <x:v>AG03</x:v>
      </x:c>
      <x:c r="L121" s="39" t="str">
        <x:v>Mibanco Castilla</x:v>
      </x:c>
      <x:c r="M121" s="41" t="n">
        <x:v>2.54</x:v>
      </x:c>
      <x:c r="N121" s="42" t="n">
        <x:v>46291</x:v>
      </x:c>
      <x:c r="O121" s="43" t="n">
        <x:v>0.375</x:v>
      </x:c>
      <x:c r="P121" s="43" t="n">
        <x:v>0.4583333333333333</x:v>
      </x:c>
      <x:c r="Q121" s="39" t="n">
        <x:v>45</x:v>
      </x:c>
      <x:c r="R121" s="44" t="n">
        <x:v>0</x:v>
      </x:c>
      <x:c r="S121" s="39" t="str">
        <x:v>No aplica</x:v>
      </x:c>
      <x:c r="T121" s="45" t="n">
        <x:v>0</x:v>
      </x:c>
      <x:c r="U121" s="39" t="n">
        <x:v>6</x:v>
      </x:c>
      <x:c r="V121" s="44" t="n">
        <x:v>15800</x:v>
      </x:c>
      <x:c r="W121" s="39" t="str">
        <x:v>Sí</x:v>
      </x:c>
      <x:c r="X121" s="42" t="n">
        <x:v>46294</x:v>
      </x:c>
      <x:c r="Y121" s="39" t="str">
        <x:v>Vigente</x:v>
      </x:c>
      <x:c r="Z121" s="39" t="n">
        <x:v>2</x:v>
      </x:c>
      <x:c r="AA121" s="39" t="str">
        <x:v>No responde</x:v>
      </x:c>
      <x:c r="AB121" s="39" t="str">
        <x:v>No</x:v>
      </x:c>
      <x:c r="AC121" s="39" t="str">
        <x:v>No</x:v>
      </x:c>
      <x:c r="AD121" s="46" t="n">
        <x:f>IF(C121="COMERCIAL",IF(AC121="Sí",40,0)+IF(D121="Recurrente",15,0)+IF(S121="Alto",25,IF(S121="Medio",12,0))+IF(R121&gt;=30000,20,IF(R121&gt;=10000,12,IF(R121&gt;=5000,6,0)))+IF(N121&lt;=Metadatos!$B$13+1,25,0)+IF(AB121="Sí",15,0)+IF(AA121="No responde",-10,0),IF(Y121="Incumplido",40,0)+IF(AND(W121="Sí",X121=Metadatos!$B$13),35,0)+IF(V121&gt;=20000,25,IF(V121&gt;=10000,18,IF(V121&gt;=5000,10,0)))+IF(U121&gt;=15,25,IF(U121&gt;=6,20,IF(U121&gt;=3,10,0)))+IF(Z121&gt;=3,20,IF(Z121&gt;=2,10,0))+IF(AA121="Respondió",-10,0)+IF(AND(Y121="Vigente",X121&gt;Metadatos!$B$13),-10,0))</x:f>
        <x:v>38</x:v>
      </x:c>
      <x:c r="AE121" s="39" t="str">
        <x:f>IF(AD121&gt;=70,"P1",IF(AD121&gt;=50,"P2",IF(AD121&gt;=30,"P3","P4")))</x:f>
        <x:v>P3</x:v>
      </x:c>
      <x:c r="AF121" s="39" t="str">
        <x:v>Seguimiento por días de mora</x:v>
      </x:c>
      <x:c r="AG121" s="39" t="str">
        <x:v>Pendiente</x:v>
      </x:c>
      <x:c r="AH121" s="39" t="str">
        <x:v>https://www.google.com/maps?q=-5.171313,-80.618840</x:v>
      </x:c>
      <x:c r="AI121" s="39" t="str">
        <x:v>SINTÉTICO</x:v>
      </x:c>
    </x:row>
    <x:row r="122">
      <x:c r="A122" s="39" t="str">
        <x:v>CLI-121</x:v>
      </x:c>
      <x:c r="B122" s="39" t="str">
        <x:v>Cliente 121</x:v>
      </x:c>
      <x:c r="C122" s="39" t="str">
        <x:v>COMERCIAL</x:v>
      </x:c>
      <x:c r="D122" s="39" t="str">
        <x:v>Nuevo</x:v>
      </x:c>
      <x:c r="E122" s="39" t="str">
        <x:v>Crédito personal</x:v>
      </x:c>
      <x:c r="F122" s="39" t="str">
        <x:v>Prospecto</x:v>
      </x:c>
      <x:c r="G122" s="40" t="n">
        <x:v>-4.881943</x:v>
      </x:c>
      <x:c r="H122" s="40" t="n">
        <x:v>-80.714847</x:v>
      </x:c>
      <x:c r="I122" s="39" t="str">
        <x:v>Sullana</x:v>
      </x:c>
      <x:c r="J122" s="39" t="str">
        <x:v>Sullana</x:v>
      </x:c>
      <x:c r="K122" s="39" t="str">
        <x:v>AG04</x:v>
      </x:c>
      <x:c r="L122" s="39" t="str">
        <x:v>Mibanco Sullana</x:v>
      </x:c>
      <x:c r="M122" s="41" t="n">
        <x:v>3.12</x:v>
      </x:c>
      <x:c r="N122" s="42" t="n">
        <x:v>46294</x:v>
      </x:c>
      <x:c r="O122" s="43" t="n">
        <x:v>0.3958333333333333</x:v>
      </x:c>
      <x:c r="P122" s="43" t="n">
        <x:v>0.4375</x:v>
      </x:c>
      <x:c r="Q122" s="39" t="n">
        <x:v>50</x:v>
      </x:c>
      <x:c r="R122" s="44" t="n">
        <x:v>26400</x:v>
      </x:c>
      <x:c r="S122" s="39" t="str">
        <x:v>Bajo</x:v>
      </x:c>
      <x:c r="T122" s="45" t="n">
        <x:v>0.3</x:v>
      </x:c>
      <x:c r="U122" s="39" t="n">
        <x:v>0</x:v>
      </x:c>
      <x:c r="V122" s="44" t="n">
        <x:v>0</x:v>
      </x:c>
      <x:c r="W122" s="39" t="str">
        <x:v>No</x:v>
      </x:c>
      <x:c r="X122" s="42"/>
      <x:c r="Y122" s="39" t="str">
        <x:v>No aplica</x:v>
      </x:c>
      <x:c r="Z122" s="39" t="n">
        <x:v>0</x:v>
      </x:c>
      <x:c r="AA122" s="39" t="str">
        <x:v>Respondió</x:v>
      </x:c>
      <x:c r="AB122" s="39" t="str">
        <x:v>No</x:v>
      </x:c>
      <x:c r="AC122" s="39" t="str">
        <x:v>No</x:v>
      </x:c>
      <x:c r="AD122" s="46" t="n">
        <x:f>IF(C122="COMERCIAL",IF(AC122="Sí",40,0)+IF(D122="Recurrente",15,0)+IF(S122="Alto",25,IF(S122="Medio",12,0))+IF(R122&gt;=30000,20,IF(R122&gt;=10000,12,IF(R122&gt;=5000,6,0)))+IF(N122&lt;=Metadatos!$B$13+1,25,0)+IF(AB122="Sí",15,0)+IF(AA122="No responde",-10,0),IF(Y122="Incumplido",40,0)+IF(AND(W122="Sí",X122=Metadatos!$B$13),35,0)+IF(V122&gt;=20000,25,IF(V122&gt;=10000,18,IF(V122&gt;=5000,10,0)))+IF(U122&gt;=15,25,IF(U122&gt;=6,20,IF(U122&gt;=3,10,0)))+IF(Z122&gt;=3,20,IF(Z122&gt;=2,10,0))+IF(AA122="Respondió",-10,0)+IF(AND(Y122="Vigente",X122&gt;Metadatos!$B$13),-10,0))</x:f>
        <x:v>12</x:v>
      </x:c>
      <x:c r="AE122" s="39" t="str">
        <x:f>IF(AD122&gt;=70,"P1",IF(AD122&gt;=50,"P2",IF(AD122&gt;=30,"P3","P4")))</x:f>
        <x:v>P4</x:v>
      </x:c>
      <x:c r="AF122" s="39" t="str">
        <x:v>Prospecto sin urgencia inmediata</x:v>
      </x:c>
      <x:c r="AG122" s="39" t="str">
        <x:v>Programada</x:v>
      </x:c>
      <x:c r="AH122" s="39" t="str">
        <x:v>https://www.google.com/maps?q=-4.881943,-80.714847</x:v>
      </x:c>
      <x:c r="AI122" s="39" t="str">
        <x:v>SINTÉTICO</x:v>
      </x:c>
    </x:row>
    <x:row r="123">
      <x:c r="A123" s="39" t="str">
        <x:v>CLI-122</x:v>
      </x:c>
      <x:c r="B123" s="39" t="str">
        <x:v>Cliente 122</x:v>
      </x:c>
      <x:c r="C123" s="39" t="str">
        <x:v>COBRANZA</x:v>
      </x:c>
      <x:c r="D123" s="39" t="str">
        <x:v>Deudor</x:v>
      </x:c>
      <x:c r="E123" s="39" t="str">
        <x:v>Cobranza de crédito</x:v>
      </x:c>
      <x:c r="F123" s="39" t="str">
        <x:v>Recuperación</x:v>
      </x:c>
      <x:c r="G123" s="40" t="n">
        <x:v>-4.851791</x:v>
      </x:c>
      <x:c r="H123" s="40" t="n">
        <x:v>-80.684187</x:v>
      </x:c>
      <x:c r="I123" s="39" t="str">
        <x:v>Sullana</x:v>
      </x:c>
      <x:c r="J123" s="39" t="str">
        <x:v>Sullana</x:v>
      </x:c>
      <x:c r="K123" s="39" t="str">
        <x:v>AG04</x:v>
      </x:c>
      <x:c r="L123" s="39" t="str">
        <x:v>Mibanco Sullana</x:v>
      </x:c>
      <x:c r="M123" s="41" t="n">
        <x:v>4.46</x:v>
      </x:c>
      <x:c r="N123" s="42" t="n">
        <x:v>46291</x:v>
      </x:c>
      <x:c r="O123" s="43" t="n">
        <x:v>0.5833333333333334</x:v>
      </x:c>
      <x:c r="P123" s="43" t="n">
        <x:v>0.6458333333333334</x:v>
      </x:c>
      <x:c r="Q123" s="39" t="n">
        <x:v>30</x:v>
      </x:c>
      <x:c r="R123" s="44" t="n">
        <x:v>0</x:v>
      </x:c>
      <x:c r="S123" s="39" t="str">
        <x:v>No aplica</x:v>
      </x:c>
      <x:c r="T123" s="45" t="n">
        <x:v>0</x:v>
      </x:c>
      <x:c r="U123" s="39" t="n">
        <x:v>7</x:v>
      </x:c>
      <x:c r="V123" s="44" t="n">
        <x:v>1600</x:v>
      </x:c>
      <x:c r="W123" s="39" t="str">
        <x:v>Sí</x:v>
      </x:c>
      <x:c r="X123" s="42" t="n">
        <x:v>46291</x:v>
      </x:c>
      <x:c r="Y123" s="39" t="str">
        <x:v>Vigente</x:v>
      </x:c>
      <x:c r="Z123" s="39" t="n">
        <x:v>2</x:v>
      </x:c>
      <x:c r="AA123" s="39" t="str">
        <x:v>No responde</x:v>
      </x:c>
      <x:c r="AB123" s="39" t="str">
        <x:v>No</x:v>
      </x:c>
      <x:c r="AC123" s="39" t="str">
        <x:v>Sí</x:v>
      </x:c>
      <x:c r="AD123" s="46" t="n">
        <x:f>IF(C123="COMERCIAL",IF(AC123="Sí",40,0)+IF(D123="Recurrente",15,0)+IF(S123="Alto",25,IF(S123="Medio",12,0))+IF(R123&gt;=30000,20,IF(R123&gt;=10000,12,IF(R123&gt;=5000,6,0)))+IF(N123&lt;=Metadatos!$B$13+1,25,0)+IF(AB123="Sí",15,0)+IF(AA123="No responde",-10,0),IF(Y123="Incumplido",40,0)+IF(AND(W123="Sí",X123=Metadatos!$B$13),35,0)+IF(V123&gt;=20000,25,IF(V123&gt;=10000,18,IF(V123&gt;=5000,10,0)))+IF(U123&gt;=15,25,IF(U123&gt;=6,20,IF(U123&gt;=3,10,0)))+IF(Z123&gt;=3,20,IF(Z123&gt;=2,10,0))+IF(AA123="Respondió",-10,0)+IF(AND(Y123="Vigente",X123&gt;Metadatos!$B$13),-10,0))</x:f>
        <x:v>65</x:v>
      </x:c>
      <x:c r="AE123" s="39" t="str">
        <x:f>IF(AD123&gt;=70,"P1",IF(AD123&gt;=50,"P2",IF(AD123&gt;=30,"P3","P4")))</x:f>
        <x:v>P2</x:v>
      </x:c>
      <x:c r="AF123" s="39" t="str">
        <x:v>Compromiso de pago con vencimiento hoy</x:v>
      </x:c>
      <x:c r="AG123" s="39" t="str">
        <x:v>Pendiente</x:v>
      </x:c>
      <x:c r="AH123" s="39" t="str">
        <x:v>https://www.google.com/maps?q=-4.851791,-80.684187</x:v>
      </x:c>
      <x:c r="AI123" s="39" t="str">
        <x:v>SINTÉTICO</x:v>
      </x:c>
    </x:row>
    <x:row r="124">
      <x:c r="A124" s="39" t="str">
        <x:v>CLI-123</x:v>
      </x:c>
      <x:c r="B124" s="39" t="str">
        <x:v>Cliente 123</x:v>
      </x:c>
      <x:c r="C124" s="39" t="str">
        <x:v>COMERCIAL</x:v>
      </x:c>
      <x:c r="D124" s="39" t="str">
        <x:v>Nuevo</x:v>
      </x:c>
      <x:c r="E124" s="39" t="str">
        <x:v>Crédito personal</x:v>
      </x:c>
      <x:c r="F124" s="39" t="str">
        <x:v>Cierre</x:v>
      </x:c>
      <x:c r="G124" s="40" t="n">
        <x:v>-4.859746</x:v>
      </x:c>
      <x:c r="H124" s="40" t="n">
        <x:v>-80.662806</x:v>
      </x:c>
      <x:c r="I124" s="39" t="str">
        <x:v>Sullana</x:v>
      </x:c>
      <x:c r="J124" s="39" t="str">
        <x:v>Sullana</x:v>
      </x:c>
      <x:c r="K124" s="39" t="str">
        <x:v>AG04</x:v>
      </x:c>
      <x:c r="L124" s="39" t="str">
        <x:v>Mibanco Sullana</x:v>
      </x:c>
      <x:c r="M124" s="41" t="n">
        <x:v>4.55</x:v>
      </x:c>
      <x:c r="N124" s="42" t="n">
        <x:v>46291</x:v>
      </x:c>
      <x:c r="O124" s="43" t="n">
        <x:v>0.4583333333333333</x:v>
      </x:c>
      <x:c r="P124" s="43" t="n">
        <x:v>0.5208333333333334</x:v>
      </x:c>
      <x:c r="Q124" s="39" t="n">
        <x:v>30</x:v>
      </x:c>
      <x:c r="R124" s="44" t="n">
        <x:v>15100</x:v>
      </x:c>
      <x:c r="S124" s="39" t="str">
        <x:v>Alto</x:v>
      </x:c>
      <x:c r="T124" s="45" t="n">
        <x:v>0.9</x:v>
      </x:c>
      <x:c r="U124" s="39" t="n">
        <x:v>0</x:v>
      </x:c>
      <x:c r="V124" s="44" t="n">
        <x:v>0</x:v>
      </x:c>
      <x:c r="W124" s="39" t="str">
        <x:v>No</x:v>
      </x:c>
      <x:c r="X124" s="42"/>
      <x:c r="Y124" s="39" t="str">
        <x:v>No aplica</x:v>
      </x:c>
      <x:c r="Z124" s="39" t="n">
        <x:v>0</x:v>
      </x:c>
      <x:c r="AA124" s="39" t="str">
        <x:v>Respondió</x:v>
      </x:c>
      <x:c r="AB124" s="39" t="str">
        <x:v>Sí</x:v>
      </x:c>
      <x:c r="AC124" s="39" t="str">
        <x:v>Sí</x:v>
      </x:c>
      <x:c r="AD124" s="46" t="n">
        <x:f>IF(C124="COMERCIAL",IF(AC124="Sí",40,0)+IF(D124="Recurrente",15,0)+IF(S124="Alto",25,IF(S124="Medio",12,0))+IF(R124&gt;=30000,20,IF(R124&gt;=10000,12,IF(R124&gt;=5000,6,0)))+IF(N124&lt;=Metadatos!$B$13+1,25,0)+IF(AB124="Sí",15,0)+IF(AA124="No responde",-10,0),IF(Y124="Incumplido",40,0)+IF(AND(W124="Sí",X124=Metadatos!$B$13),35,0)+IF(V124&gt;=20000,25,IF(V124&gt;=10000,18,IF(V124&gt;=5000,10,0)))+IF(U124&gt;=15,25,IF(U124&gt;=6,20,IF(U124&gt;=3,10,0)))+IF(Z124&gt;=3,20,IF(Z124&gt;=2,10,0))+IF(AA124="Respondió",-10,0)+IF(AND(Y124="Vigente",X124&gt;Metadatos!$B$13),-10,0))</x:f>
        <x:v>117</x:v>
      </x:c>
      <x:c r="AE124" s="39" t="str">
        <x:f>IF(AD124&gt;=70,"P1",IF(AD124&gt;=50,"P2",IF(AD124&gt;=30,"P3","P4")))</x:f>
        <x:v>P1</x:v>
      </x:c>
      <x:c r="AF124" s="39" t="str">
        <x:v>Operación comercial prevista hoy</x:v>
      </x:c>
      <x:c r="AG124" s="39" t="str">
        <x:v>Pendiente</x:v>
      </x:c>
      <x:c r="AH124" s="39" t="str">
        <x:v>https://www.google.com/maps?q=-4.859746,-80.662806</x:v>
      </x:c>
      <x:c r="AI124" s="39" t="str">
        <x:v>SINTÉTICO</x:v>
      </x:c>
    </x:row>
    <x:row r="125">
      <x:c r="A125" s="39" t="str">
        <x:v>CLI-124</x:v>
      </x:c>
      <x:c r="B125" s="39" t="str">
        <x:v>Cliente 124</x:v>
      </x:c>
      <x:c r="C125" s="39" t="str">
        <x:v>COBRANZA</x:v>
      </x:c>
      <x:c r="D125" s="39" t="str">
        <x:v>Deudor</x:v>
      </x:c>
      <x:c r="E125" s="39" t="str">
        <x:v>Cobranza de crédito</x:v>
      </x:c>
      <x:c r="F125" s="39" t="str">
        <x:v>Recuperación</x:v>
      </x:c>
      <x:c r="G125" s="40" t="n">
        <x:v>-4.888608</x:v>
      </x:c>
      <x:c r="H125" s="40" t="n">
        <x:v>-80.724213</x:v>
      </x:c>
      <x:c r="I125" s="39" t="str">
        <x:v>Sullana</x:v>
      </x:c>
      <x:c r="J125" s="39" t="str">
        <x:v>Sullana</x:v>
      </x:c>
      <x:c r="K125" s="39" t="str">
        <x:v>AG04</x:v>
      </x:c>
      <x:c r="L125" s="39" t="str">
        <x:v>Mibanco Sullana</x:v>
      </x:c>
      <x:c r="M125" s="41" t="n">
        <x:v>3.98</x:v>
      </x:c>
      <x:c r="N125" s="42" t="n">
        <x:v>46291</x:v>
      </x:c>
      <x:c r="O125" s="43" t="n">
        <x:v>0.4583333333333333</x:v>
      </x:c>
      <x:c r="P125" s="43" t="n">
        <x:v>0.5208333333333334</x:v>
      </x:c>
      <x:c r="Q125" s="39" t="n">
        <x:v>35</x:v>
      </x:c>
      <x:c r="R125" s="44" t="n">
        <x:v>0</x:v>
      </x:c>
      <x:c r="S125" s="39" t="str">
        <x:v>No aplica</x:v>
      </x:c>
      <x:c r="T125" s="45" t="n">
        <x:v>0</x:v>
      </x:c>
      <x:c r="U125" s="39" t="n">
        <x:v>10</x:v>
      </x:c>
      <x:c r="V125" s="44" t="n">
        <x:v>24300</x:v>
      </x:c>
      <x:c r="W125" s="39" t="str">
        <x:v>No</x:v>
      </x:c>
      <x:c r="X125" s="42"/>
      <x:c r="Y125" s="39" t="str">
        <x:v>Sin compromiso</x:v>
      </x:c>
      <x:c r="Z125" s="39" t="n">
        <x:v>1</x:v>
      </x:c>
      <x:c r="AA125" s="39" t="str">
        <x:v>Respondió</x:v>
      </x:c>
      <x:c r="AB125" s="39" t="str">
        <x:v>No</x:v>
      </x:c>
      <x:c r="AC125" s="39" t="str">
        <x:v>No</x:v>
      </x:c>
      <x:c r="AD125" s="46" t="n">
        <x:f>IF(C125="COMERCIAL",IF(AC125="Sí",40,0)+IF(D125="Recurrente",15,0)+IF(S125="Alto",25,IF(S125="Medio",12,0))+IF(R125&gt;=30000,20,IF(R125&gt;=10000,12,IF(R125&gt;=5000,6,0)))+IF(N125&lt;=Metadatos!$B$13+1,25,0)+IF(AB125="Sí",15,0)+IF(AA125="No responde",-10,0),IF(Y125="Incumplido",40,0)+IF(AND(W125="Sí",X125=Metadatos!$B$13),35,0)+IF(V125&gt;=20000,25,IF(V125&gt;=10000,18,IF(V125&gt;=5000,10,0)))+IF(U125&gt;=15,25,IF(U125&gt;=6,20,IF(U125&gt;=3,10,0)))+IF(Z125&gt;=3,20,IF(Z125&gt;=2,10,0))+IF(AA125="Respondió",-10,0)+IF(AND(Y125="Vigente",X125&gt;Metadatos!$B$13),-10,0))</x:f>
        <x:v>35</x:v>
      </x:c>
      <x:c r="AE125" s="39" t="str">
        <x:f>IF(AD125&gt;=70,"P1",IF(AD125&gt;=50,"P2",IF(AD125&gt;=30,"P3","P4")))</x:f>
        <x:v>P3</x:v>
      </x:c>
      <x:c r="AF125" s="39" t="str">
        <x:v>Seguimiento por días de mora</x:v>
      </x:c>
      <x:c r="AG125" s="39" t="str">
        <x:v>Pendiente</x:v>
      </x:c>
      <x:c r="AH125" s="39" t="str">
        <x:v>https://www.google.com/maps?q=-4.888608,-80.724213</x:v>
      </x:c>
      <x:c r="AI125" s="39" t="str">
        <x:v>SINTÉTICO</x:v>
      </x:c>
    </x:row>
    <x:row r="126">
      <x:c r="A126" s="39" t="str">
        <x:v>CLI-125</x:v>
      </x:c>
      <x:c r="B126" s="39" t="str">
        <x:v>Cliente 125</x:v>
      </x:c>
      <x:c r="C126" s="39" t="str">
        <x:v>COMERCIAL</x:v>
      </x:c>
      <x:c r="D126" s="39" t="str">
        <x:v>Nuevo</x:v>
      </x:c>
      <x:c r="E126" s="39" t="str">
        <x:v>Crédito personal</x:v>
      </x:c>
      <x:c r="F126" s="39" t="str">
        <x:v>Evaluación</x:v>
      </x:c>
      <x:c r="G126" s="40" t="n">
        <x:v>-4.892441</x:v>
      </x:c>
      <x:c r="H126" s="40" t="n">
        <x:v>-80.660983</x:v>
      </x:c>
      <x:c r="I126" s="39" t="str">
        <x:v>Sullana</x:v>
      </x:c>
      <x:c r="J126" s="39" t="str">
        <x:v>Sullana</x:v>
      </x:c>
      <x:c r="K126" s="39" t="str">
        <x:v>AG04</x:v>
      </x:c>
      <x:c r="L126" s="39" t="str">
        <x:v>Mibanco Sullana</x:v>
      </x:c>
      <x:c r="M126" s="41" t="n">
        <x:v>3.04</x:v>
      </x:c>
      <x:c r="N126" s="42" t="n">
        <x:v>46292</x:v>
      </x:c>
      <x:c r="O126" s="43" t="n">
        <x:v>0.4583333333333333</x:v>
      </x:c>
      <x:c r="P126" s="43" t="n">
        <x:v>0.5416666666666666</x:v>
      </x:c>
      <x:c r="Q126" s="39" t="n">
        <x:v>60</x:v>
      </x:c>
      <x:c r="R126" s="44" t="n">
        <x:v>16700</x:v>
      </x:c>
      <x:c r="S126" s="39" t="str">
        <x:v>Alto</x:v>
      </x:c>
      <x:c r="T126" s="45" t="n">
        <x:v>0.74</x:v>
      </x:c>
      <x:c r="U126" s="39" t="n">
        <x:v>0</x:v>
      </x:c>
      <x:c r="V126" s="44" t="n">
        <x:v>0</x:v>
      </x:c>
      <x:c r="W126" s="39" t="str">
        <x:v>No</x:v>
      </x:c>
      <x:c r="X126" s="42"/>
      <x:c r="Y126" s="39" t="str">
        <x:v>No aplica</x:v>
      </x:c>
      <x:c r="Z126" s="39" t="n">
        <x:v>0</x:v>
      </x:c>
      <x:c r="AA126" s="39" t="str">
        <x:v>Respondió</x:v>
      </x:c>
      <x:c r="AB126" s="39" t="str">
        <x:v>Sí</x:v>
      </x:c>
      <x:c r="AC126" s="39" t="str">
        <x:v>No</x:v>
      </x:c>
      <x:c r="AD126" s="46" t="n">
        <x:f>IF(C126="COMERCIAL",IF(AC126="Sí",40,0)+IF(D126="Recurrente",15,0)+IF(S126="Alto",25,IF(S126="Medio",12,0))+IF(R126&gt;=30000,20,IF(R126&gt;=10000,12,IF(R126&gt;=5000,6,0)))+IF(N126&lt;=Metadatos!$B$13+1,25,0)+IF(AB126="Sí",15,0)+IF(AA126="No responde",-10,0),IF(Y126="Incumplido",40,0)+IF(AND(W126="Sí",X126=Metadatos!$B$13),35,0)+IF(V126&gt;=20000,25,IF(V126&gt;=10000,18,IF(V126&gt;=5000,10,0)))+IF(U126&gt;=15,25,IF(U126&gt;=6,20,IF(U126&gt;=3,10,0)))+IF(Z126&gt;=3,20,IF(Z126&gt;=2,10,0))+IF(AA126="Respondió",-10,0)+IF(AND(Y126="Vigente",X126&gt;Metadatos!$B$13),-10,0))</x:f>
        <x:v>77</x:v>
      </x:c>
      <x:c r="AE126" s="39" t="str">
        <x:f>IF(AD126&gt;=70,"P1",IF(AD126&gt;=50,"P2",IF(AD126&gt;=30,"P3","P4")))</x:f>
        <x:v>P1</x:v>
      </x:c>
      <x:c r="AF126" s="39" t="str">
        <x:v>Prospecto sin urgencia inmediata</x:v>
      </x:c>
      <x:c r="AG126" s="39" t="str">
        <x:v>Pendiente</x:v>
      </x:c>
      <x:c r="AH126" s="39" t="str">
        <x:v>https://www.google.com/maps?q=-4.892441,-80.660983</x:v>
      </x:c>
      <x:c r="AI126" s="39" t="str">
        <x:v>SINTÉTICO</x:v>
      </x:c>
    </x:row>
    <x:row r="127">
      <x:c r="A127" s="39" t="str">
        <x:v>CLI-126</x:v>
      </x:c>
      <x:c r="B127" s="39" t="str">
        <x:v>Cliente 126</x:v>
      </x:c>
      <x:c r="C127" s="39" t="str">
        <x:v>COBRANZA</x:v>
      </x:c>
      <x:c r="D127" s="39" t="str">
        <x:v>Deudor</x:v>
      </x:c>
      <x:c r="E127" s="39" t="str">
        <x:v>Cobranza de crédito</x:v>
      </x:c>
      <x:c r="F127" s="39" t="str">
        <x:v>Recuperación</x:v>
      </x:c>
      <x:c r="G127" s="40" t="n">
        <x:v>-4.857095</x:v>
      </x:c>
      <x:c r="H127" s="40" t="n">
        <x:v>-80.690973</x:v>
      </x:c>
      <x:c r="I127" s="39" t="str">
        <x:v>Sullana</x:v>
      </x:c>
      <x:c r="J127" s="39" t="str">
        <x:v>Sullana</x:v>
      </x:c>
      <x:c r="K127" s="39" t="str">
        <x:v>AG04</x:v>
      </x:c>
      <x:c r="L127" s="39" t="str">
        <x:v>Mibanco Sullana</x:v>
      </x:c>
      <x:c r="M127" s="41" t="n">
        <x:v>3.85</x:v>
      </x:c>
      <x:c r="N127" s="42" t="n">
        <x:v>46293</x:v>
      </x:c>
      <x:c r="O127" s="43" t="n">
        <x:v>0.6041666666666666</x:v>
      </x:c>
      <x:c r="P127" s="43" t="n">
        <x:v>0.6458333333333334</x:v>
      </x:c>
      <x:c r="Q127" s="39" t="n">
        <x:v>45</x:v>
      </x:c>
      <x:c r="R127" s="44" t="n">
        <x:v>0</x:v>
      </x:c>
      <x:c r="S127" s="39" t="str">
        <x:v>No aplica</x:v>
      </x:c>
      <x:c r="T127" s="45" t="n">
        <x:v>0</x:v>
      </x:c>
      <x:c r="U127" s="39" t="n">
        <x:v>1</x:v>
      </x:c>
      <x:c r="V127" s="44" t="n">
        <x:v>11200</x:v>
      </x:c>
      <x:c r="W127" s="39" t="str">
        <x:v>Sí</x:v>
      </x:c>
      <x:c r="X127" s="42" t="n">
        <x:v>46294</x:v>
      </x:c>
      <x:c r="Y127" s="39" t="str">
        <x:v>Vigente</x:v>
      </x:c>
      <x:c r="Z127" s="39" t="n">
        <x:v>1</x:v>
      </x:c>
      <x:c r="AA127" s="39" t="str">
        <x:v>Respondió</x:v>
      </x:c>
      <x:c r="AB127" s="39" t="str">
        <x:v>No</x:v>
      </x:c>
      <x:c r="AC127" s="39" t="str">
        <x:v>No</x:v>
      </x:c>
      <x:c r="AD127" s="46" t="n">
        <x:f>IF(C127="COMERCIAL",IF(AC127="Sí",40,0)+IF(D127="Recurrente",15,0)+IF(S127="Alto",25,IF(S127="Medio",12,0))+IF(R127&gt;=30000,20,IF(R127&gt;=10000,12,IF(R127&gt;=5000,6,0)))+IF(N127&lt;=Metadatos!$B$13+1,25,0)+IF(AB127="Sí",15,0)+IF(AA127="No responde",-10,0),IF(Y127="Incumplido",40,0)+IF(AND(W127="Sí",X127=Metadatos!$B$13),35,0)+IF(V127&gt;=20000,25,IF(V127&gt;=10000,18,IF(V127&gt;=5000,10,0)))+IF(U127&gt;=15,25,IF(U127&gt;=6,20,IF(U127&gt;=3,10,0)))+IF(Z127&gt;=3,20,IF(Z127&gt;=2,10,0))+IF(AA127="Respondió",-10,0)+IF(AND(Y127="Vigente",X127&gt;Metadatos!$B$13),-10,0))</x:f>
        <x:v>-2</x:v>
      </x:c>
      <x:c r="AE127" s="39" t="str">
        <x:f>IF(AD127&gt;=70,"P1",IF(AD127&gt;=50,"P2",IF(AD127&gt;=30,"P3","P4")))</x:f>
        <x:v>P4</x:v>
      </x:c>
      <x:c r="AF127" s="39" t="str">
        <x:v>Mora reciente con seguimiento programable</x:v>
      </x:c>
      <x:c r="AG127" s="39" t="str">
        <x:v>Pendiente</x:v>
      </x:c>
      <x:c r="AH127" s="39" t="str">
        <x:v>https://www.google.com/maps?q=-4.857095,-80.690973</x:v>
      </x:c>
      <x:c r="AI127" s="39" t="str">
        <x:v>SINTÉTICO</x:v>
      </x:c>
    </x:row>
    <x:row r="128">
      <x:c r="A128" s="39" t="str">
        <x:v>CLI-127</x:v>
      </x:c>
      <x:c r="B128" s="39" t="str">
        <x:v>Cliente 127</x:v>
      </x:c>
      <x:c r="C128" s="39" t="str">
        <x:v>COMERCIAL</x:v>
      </x:c>
      <x:c r="D128" s="39" t="str">
        <x:v>Nuevo</x:v>
      </x:c>
      <x:c r="E128" s="39" t="str">
        <x:v>Capital de trabajo</x:v>
      </x:c>
      <x:c r="F128" s="39" t="str">
        <x:v>Contactado</x:v>
      </x:c>
      <x:c r="G128" s="40" t="n">
        <x:v>-4.851654</x:v>
      </x:c>
      <x:c r="H128" s="40" t="n">
        <x:v>-80.672002</x:v>
      </x:c>
      <x:c r="I128" s="39" t="str">
        <x:v>Sullana</x:v>
      </x:c>
      <x:c r="J128" s="39" t="str">
        <x:v>Sullana</x:v>
      </x:c>
      <x:c r="K128" s="39" t="str">
        <x:v>AG04</x:v>
      </x:c>
      <x:c r="L128" s="39" t="str">
        <x:v>Mibanco Sullana</x:v>
      </x:c>
      <x:c r="M128" s="41" t="n">
        <x:v>4.81</x:v>
      </x:c>
      <x:c r="N128" s="42" t="n">
        <x:v>46295</x:v>
      </x:c>
      <x:c r="O128" s="43" t="n">
        <x:v>0.5625</x:v>
      </x:c>
      <x:c r="P128" s="43" t="n">
        <x:v>0.6041666666666666</x:v>
      </x:c>
      <x:c r="Q128" s="39" t="n">
        <x:v>35</x:v>
      </x:c>
      <x:c r="R128" s="44" t="n">
        <x:v>31700</x:v>
      </x:c>
      <x:c r="S128" s="39" t="str">
        <x:v>Bajo</x:v>
      </x:c>
      <x:c r="T128" s="45" t="n">
        <x:v>0.21</x:v>
      </x:c>
      <x:c r="U128" s="39" t="n">
        <x:v>0</x:v>
      </x:c>
      <x:c r="V128" s="44" t="n">
        <x:v>0</x:v>
      </x:c>
      <x:c r="W128" s="39" t="str">
        <x:v>No</x:v>
      </x:c>
      <x:c r="X128" s="42"/>
      <x:c r="Y128" s="39" t="str">
        <x:v>No aplica</x:v>
      </x:c>
      <x:c r="Z128" s="39" t="n">
        <x:v>0</x:v>
      </x:c>
      <x:c r="AA128" s="39" t="str">
        <x:v>No responde</x:v>
      </x:c>
      <x:c r="AB128" s="39" t="str">
        <x:v>No</x:v>
      </x:c>
      <x:c r="AC128" s="39" t="str">
        <x:v>No</x:v>
      </x:c>
      <x:c r="AD128" s="46" t="n">
        <x:f>IF(C128="COMERCIAL",IF(AC128="Sí",40,0)+IF(D128="Recurrente",15,0)+IF(S128="Alto",25,IF(S128="Medio",12,0))+IF(R128&gt;=30000,20,IF(R128&gt;=10000,12,IF(R128&gt;=5000,6,0)))+IF(N128&lt;=Metadatos!$B$13+1,25,0)+IF(AB128="Sí",15,0)+IF(AA128="No responde",-10,0),IF(Y128="Incumplido",40,0)+IF(AND(W128="Sí",X128=Metadatos!$B$13),35,0)+IF(V128&gt;=20000,25,IF(V128&gt;=10000,18,IF(V128&gt;=5000,10,0)))+IF(U128&gt;=15,25,IF(U128&gt;=6,20,IF(U128&gt;=3,10,0)))+IF(Z128&gt;=3,20,IF(Z128&gt;=2,10,0))+IF(AA128="Respondió",-10,0)+IF(AND(Y128="Vigente",X128&gt;Metadatos!$B$13),-10,0))</x:f>
        <x:v>10</x:v>
      </x:c>
      <x:c r="AE128" s="39" t="str">
        <x:f>IF(AD128&gt;=70,"P1",IF(AD128&gt;=50,"P2",IF(AD128&gt;=30,"P3","P4")))</x:f>
        <x:v>P4</x:v>
      </x:c>
      <x:c r="AF128" s="39" t="str">
        <x:v>Prospecto sin urgencia inmediata</x:v>
      </x:c>
      <x:c r="AG128" s="39" t="str">
        <x:v>Pendiente</x:v>
      </x:c>
      <x:c r="AH128" s="39" t="str">
        <x:v>https://www.google.com/maps?q=-4.851654,-80.672002</x:v>
      </x:c>
      <x:c r="AI128" s="39" t="str">
        <x:v>SINTÉTICO</x:v>
      </x:c>
    </x:row>
    <x:row r="129">
      <x:c r="A129" s="39" t="str">
        <x:v>CLI-128</x:v>
      </x:c>
      <x:c r="B129" s="39" t="str">
        <x:v>Cliente 128</x:v>
      </x:c>
      <x:c r="C129" s="39" t="str">
        <x:v>COBRANZA</x:v>
      </x:c>
      <x:c r="D129" s="39" t="str">
        <x:v>Deudor</x:v>
      </x:c>
      <x:c r="E129" s="39" t="str">
        <x:v>Cobranza de crédito</x:v>
      </x:c>
      <x:c r="F129" s="39" t="str">
        <x:v>Recuperación</x:v>
      </x:c>
      <x:c r="G129" s="40" t="n">
        <x:v>-4.875488</x:v>
      </x:c>
      <x:c r="H129" s="40" t="n">
        <x:v>-80.662613</x:v>
      </x:c>
      <x:c r="I129" s="39" t="str">
        <x:v>Sullana</x:v>
      </x:c>
      <x:c r="J129" s="39" t="str">
        <x:v>Sullana</x:v>
      </x:c>
      <x:c r="K129" s="39" t="str">
        <x:v>AG04</x:v>
      </x:c>
      <x:c r="L129" s="39" t="str">
        <x:v>Mibanco Sullana</x:v>
      </x:c>
      <x:c r="M129" s="41" t="n">
        <x:v>3.38</x:v>
      </x:c>
      <x:c r="N129" s="42" t="n">
        <x:v>46291</x:v>
      </x:c>
      <x:c r="O129" s="43" t="n">
        <x:v>0.5208333333333334</x:v>
      </x:c>
      <x:c r="P129" s="43" t="n">
        <x:v>0.5625</x:v>
      </x:c>
      <x:c r="Q129" s="39" t="n">
        <x:v>40</x:v>
      </x:c>
      <x:c r="R129" s="44" t="n">
        <x:v>0</x:v>
      </x:c>
      <x:c r="S129" s="39" t="str">
        <x:v>No aplica</x:v>
      </x:c>
      <x:c r="T129" s="45" t="n">
        <x:v>0</x:v>
      </x:c>
      <x:c r="U129" s="39" t="n">
        <x:v>7</x:v>
      </x:c>
      <x:c r="V129" s="44" t="n">
        <x:v>17100</x:v>
      </x:c>
      <x:c r="W129" s="39" t="str">
        <x:v>Sí</x:v>
      </x:c>
      <x:c r="X129" s="42" t="n">
        <x:v>46291</x:v>
      </x:c>
      <x:c r="Y129" s="39" t="str">
        <x:v>Vigente</x:v>
      </x:c>
      <x:c r="Z129" s="39" t="n">
        <x:v>1</x:v>
      </x:c>
      <x:c r="AA129" s="39" t="str">
        <x:v>Respondió</x:v>
      </x:c>
      <x:c r="AB129" s="39" t="str">
        <x:v>No</x:v>
      </x:c>
      <x:c r="AC129" s="39" t="str">
        <x:v>Sí</x:v>
      </x:c>
      <x:c r="AD129" s="46" t="n">
        <x:f>IF(C129="COMERCIAL",IF(AC129="Sí",40,0)+IF(D129="Recurrente",15,0)+IF(S129="Alto",25,IF(S129="Medio",12,0))+IF(R129&gt;=30000,20,IF(R129&gt;=10000,12,IF(R129&gt;=5000,6,0)))+IF(N129&lt;=Metadatos!$B$13+1,25,0)+IF(AB129="Sí",15,0)+IF(AA129="No responde",-10,0),IF(Y129="Incumplido",40,0)+IF(AND(W129="Sí",X129=Metadatos!$B$13),35,0)+IF(V129&gt;=20000,25,IF(V129&gt;=10000,18,IF(V129&gt;=5000,10,0)))+IF(U129&gt;=15,25,IF(U129&gt;=6,20,IF(U129&gt;=3,10,0)))+IF(Z129&gt;=3,20,IF(Z129&gt;=2,10,0))+IF(AA129="Respondió",-10,0)+IF(AND(Y129="Vigente",X129&gt;Metadatos!$B$13),-10,0))</x:f>
        <x:v>63</x:v>
      </x:c>
      <x:c r="AE129" s="39" t="str">
        <x:f>IF(AD129&gt;=70,"P1",IF(AD129&gt;=50,"P2",IF(AD129&gt;=30,"P3","P4")))</x:f>
        <x:v>P2</x:v>
      </x:c>
      <x:c r="AF129" s="39" t="str">
        <x:v>Compromiso de pago con vencimiento hoy</x:v>
      </x:c>
      <x:c r="AG129" s="39" t="str">
        <x:v>Pendiente</x:v>
      </x:c>
      <x:c r="AH129" s="39" t="str">
        <x:v>https://www.google.com/maps?q=-4.875488,-80.662613</x:v>
      </x:c>
      <x:c r="AI129" s="39" t="str">
        <x:v>SINTÉTICO</x:v>
      </x:c>
    </x:row>
    <x:row r="130">
      <x:c r="A130" s="39" t="str">
        <x:v>CLI-129</x:v>
      </x:c>
      <x:c r="B130" s="39" t="str">
        <x:v>Cliente 129</x:v>
      </x:c>
      <x:c r="C130" s="39" t="str">
        <x:v>COMERCIAL</x:v>
      </x:c>
      <x:c r="D130" s="39" t="str">
        <x:v>Recurrente</x:v>
      </x:c>
      <x:c r="E130" s="39" t="str">
        <x:v>Ahorro</x:v>
      </x:c>
      <x:c r="F130" s="39" t="str">
        <x:v>Evaluación</x:v>
      </x:c>
      <x:c r="G130" s="40" t="n">
        <x:v>-4.891052</x:v>
      </x:c>
      <x:c r="H130" s="40" t="n">
        <x:v>-80.732583</x:v>
      </x:c>
      <x:c r="I130" s="39" t="str">
        <x:v>Sullana</x:v>
      </x:c>
      <x:c r="J130" s="39" t="str">
        <x:v>Sullana</x:v>
      </x:c>
      <x:c r="K130" s="39" t="str">
        <x:v>AG04</x:v>
      </x:c>
      <x:c r="L130" s="39" t="str">
        <x:v>Mibanco Sullana</x:v>
      </x:c>
      <x:c r="M130" s="41" t="n">
        <x:v>4.9</x:v>
      </x:c>
      <x:c r="N130" s="42" t="n">
        <x:v>46294</x:v>
      </x:c>
      <x:c r="O130" s="43" t="n">
        <x:v>0.5416666666666666</x:v>
      </x:c>
      <x:c r="P130" s="43" t="n">
        <x:v>0.625</x:v>
      </x:c>
      <x:c r="Q130" s="39" t="n">
        <x:v>35</x:v>
      </x:c>
      <x:c r="R130" s="44" t="n">
        <x:v>25900</x:v>
      </x:c>
      <x:c r="S130" s="39" t="str">
        <x:v>Medio</x:v>
      </x:c>
      <x:c r="T130" s="45" t="n">
        <x:v>0.43</x:v>
      </x:c>
      <x:c r="U130" s="39" t="n">
        <x:v>0</x:v>
      </x:c>
      <x:c r="V130" s="44" t="n">
        <x:v>0</x:v>
      </x:c>
      <x:c r="W130" s="39" t="str">
        <x:v>No</x:v>
      </x:c>
      <x:c r="X130" s="42"/>
      <x:c r="Y130" s="39" t="str">
        <x:v>No aplica</x:v>
      </x:c>
      <x:c r="Z130" s="39" t="n">
        <x:v>0</x:v>
      </x:c>
      <x:c r="AA130" s="39" t="str">
        <x:v>No responde</x:v>
      </x:c>
      <x:c r="AB130" s="39" t="str">
        <x:v>No</x:v>
      </x:c>
      <x:c r="AC130" s="39" t="str">
        <x:v>No</x:v>
      </x:c>
      <x:c r="AD130" s="46" t="n">
        <x:f>IF(C130="COMERCIAL",IF(AC130="Sí",40,0)+IF(D130="Recurrente",15,0)+IF(S130="Alto",25,IF(S130="Medio",12,0))+IF(R130&gt;=30000,20,IF(R130&gt;=10000,12,IF(R130&gt;=5000,6,0)))+IF(N130&lt;=Metadatos!$B$13+1,25,0)+IF(AB130="Sí",15,0)+IF(AA130="No responde",-10,0),IF(Y130="Incumplido",40,0)+IF(AND(W130="Sí",X130=Metadatos!$B$13),35,0)+IF(V130&gt;=20000,25,IF(V130&gt;=10000,18,IF(V130&gt;=5000,10,0)))+IF(U130&gt;=15,25,IF(U130&gt;=6,20,IF(U130&gt;=3,10,0)))+IF(Z130&gt;=3,20,IF(Z130&gt;=2,10,0))+IF(AA130="Respondió",-10,0)+IF(AND(Y130="Vigente",X130&gt;Metadatos!$B$13),-10,0))</x:f>
        <x:v>29</x:v>
      </x:c>
      <x:c r="AE130" s="39" t="str">
        <x:f>IF(AD130&gt;=70,"P1",IF(AD130&gt;=50,"P2",IF(AD130&gt;=30,"P3","P4")))</x:f>
        <x:v>P4</x:v>
      </x:c>
      <x:c r="AF130" s="39" t="str">
        <x:v>Cliente recurrente con oportunidad activa</x:v>
      </x:c>
      <x:c r="AG130" s="39" t="str">
        <x:v>Programada</x:v>
      </x:c>
      <x:c r="AH130" s="39" t="str">
        <x:v>https://www.google.com/maps?q=-4.891052,-80.732583</x:v>
      </x:c>
      <x:c r="AI130" s="39" t="str">
        <x:v>SINTÉTICO</x:v>
      </x:c>
    </x:row>
    <x:row r="131">
      <x:c r="A131" s="39" t="str">
        <x:v>CLI-130</x:v>
      </x:c>
      <x:c r="B131" s="39" t="str">
        <x:v>Cliente 130</x:v>
      </x:c>
      <x:c r="C131" s="39" t="str">
        <x:v>COBRANZA</x:v>
      </x:c>
      <x:c r="D131" s="39" t="str">
        <x:v>Deudor</x:v>
      </x:c>
      <x:c r="E131" s="39" t="str">
        <x:v>Cobranza de crédito</x:v>
      </x:c>
      <x:c r="F131" s="39" t="str">
        <x:v>Recuperación</x:v>
      </x:c>
      <x:c r="G131" s="40" t="n">
        <x:v>-4.907832</x:v>
      </x:c>
      <x:c r="H131" s="40" t="n">
        <x:v>-80.717958</x:v>
      </x:c>
      <x:c r="I131" s="39" t="str">
        <x:v>Sullana</x:v>
      </x:c>
      <x:c r="J131" s="39" t="str">
        <x:v>Sullana</x:v>
      </x:c>
      <x:c r="K131" s="39" t="str">
        <x:v>AG04</x:v>
      </x:c>
      <x:c r="L131" s="39" t="str">
        <x:v>Mibanco Sullana</x:v>
      </x:c>
      <x:c r="M131" s="41" t="n">
        <x:v>3.74</x:v>
      </x:c>
      <x:c r="N131" s="42" t="n">
        <x:v>46291</x:v>
      </x:c>
      <x:c r="O131" s="43" t="n">
        <x:v>0.4583333333333333</x:v>
      </x:c>
      <x:c r="P131" s="43" t="n">
        <x:v>0.5416666666666666</x:v>
      </x:c>
      <x:c r="Q131" s="39" t="n">
        <x:v>50</x:v>
      </x:c>
      <x:c r="R131" s="44" t="n">
        <x:v>0</x:v>
      </x:c>
      <x:c r="S131" s="39" t="str">
        <x:v>No aplica</x:v>
      </x:c>
      <x:c r="T131" s="45" t="n">
        <x:v>0</x:v>
      </x:c>
      <x:c r="U131" s="39" t="n">
        <x:v>18</x:v>
      </x:c>
      <x:c r="V131" s="44" t="n">
        <x:v>10800</x:v>
      </x:c>
      <x:c r="W131" s="39" t="str">
        <x:v>Sí</x:v>
      </x:c>
      <x:c r="X131" s="42" t="n">
        <x:v>46289</x:v>
      </x:c>
      <x:c r="Y131" s="39" t="str">
        <x:v>Incumplido</x:v>
      </x:c>
      <x:c r="Z131" s="39" t="n">
        <x:v>4</x:v>
      </x:c>
      <x:c r="AA131" s="39" t="str">
        <x:v>No responde</x:v>
      </x:c>
      <x:c r="AB131" s="39" t="str">
        <x:v>No</x:v>
      </x:c>
      <x:c r="AC131" s="39" t="str">
        <x:v>No</x:v>
      </x:c>
      <x:c r="AD131" s="46" t="n">
        <x:f>IF(C131="COMERCIAL",IF(AC131="Sí",40,0)+IF(D131="Recurrente",15,0)+IF(S131="Alto",25,IF(S131="Medio",12,0))+IF(R131&gt;=30000,20,IF(R131&gt;=10000,12,IF(R131&gt;=5000,6,0)))+IF(N131&lt;=Metadatos!$B$13+1,25,0)+IF(AB131="Sí",15,0)+IF(AA131="No responde",-10,0),IF(Y131="Incumplido",40,0)+IF(AND(W131="Sí",X131=Metadatos!$B$13),35,0)+IF(V131&gt;=20000,25,IF(V131&gt;=10000,18,IF(V131&gt;=5000,10,0)))+IF(U131&gt;=15,25,IF(U131&gt;=6,20,IF(U131&gt;=3,10,0)))+IF(Z131&gt;=3,20,IF(Z131&gt;=2,10,0))+IF(AA131="Respondió",-10,0)+IF(AND(Y131="Vigente",X131&gt;Metadatos!$B$13),-10,0))</x:f>
        <x:v>103</x:v>
      </x:c>
      <x:c r="AE131" s="39" t="str">
        <x:f>IF(AD131&gt;=70,"P1",IF(AD131&gt;=50,"P2",IF(AD131&gt;=30,"P3","P4")))</x:f>
        <x:v>P1</x:v>
      </x:c>
      <x:c r="AF131" s="39" t="str">
        <x:v>Compromiso incumplido y cliente sin respuesta</x:v>
      </x:c>
      <x:c r="AG131" s="39" t="str">
        <x:v>Pendiente</x:v>
      </x:c>
      <x:c r="AH131" s="39" t="str">
        <x:v>https://www.google.com/maps?q=-4.907832,-80.717958</x:v>
      </x:c>
      <x:c r="AI131" s="39" t="str">
        <x:v>SINTÉTICO</x:v>
      </x:c>
    </x:row>
    <x:row r="132">
      <x:c r="A132" s="39" t="str">
        <x:v>CLI-131</x:v>
      </x:c>
      <x:c r="B132" s="39" t="str">
        <x:v>Cliente 131</x:v>
      </x:c>
      <x:c r="C132" s="39" t="str">
        <x:v>COMERCIAL</x:v>
      </x:c>
      <x:c r="D132" s="39" t="str">
        <x:v>Nuevo</x:v>
      </x:c>
      <x:c r="E132" s="39" t="str">
        <x:v>Crédito personal</x:v>
      </x:c>
      <x:c r="F132" s="39" t="str">
        <x:v>Prospecto</x:v>
      </x:c>
      <x:c r="G132" s="40" t="n">
        <x:v>-4.885436</x:v>
      </x:c>
      <x:c r="H132" s="40" t="n">
        <x:v>-80.712285</x:v>
      </x:c>
      <x:c r="I132" s="39" t="str">
        <x:v>Sullana</x:v>
      </x:c>
      <x:c r="J132" s="39" t="str">
        <x:v>Sullana</x:v>
      </x:c>
      <x:c r="K132" s="39" t="str">
        <x:v>AG04</x:v>
      </x:c>
      <x:c r="L132" s="39" t="str">
        <x:v>Mibanco Sullana</x:v>
      </x:c>
      <x:c r="M132" s="41" t="n">
        <x:v>2.74</x:v>
      </x:c>
      <x:c r="N132" s="42" t="n">
        <x:v>46294</x:v>
      </x:c>
      <x:c r="O132" s="43" t="n">
        <x:v>0.3541666666666667</x:v>
      </x:c>
      <x:c r="P132" s="43" t="n">
        <x:v>0.3958333333333333</x:v>
      </x:c>
      <x:c r="Q132" s="39" t="n">
        <x:v>40</x:v>
      </x:c>
      <x:c r="R132" s="44" t="n">
        <x:v>42700</x:v>
      </x:c>
      <x:c r="S132" s="39" t="str">
        <x:v>Bajo</x:v>
      </x:c>
      <x:c r="T132" s="45" t="n">
        <x:v>0.27</x:v>
      </x:c>
      <x:c r="U132" s="39" t="n">
        <x:v>0</x:v>
      </x:c>
      <x:c r="V132" s="44" t="n">
        <x:v>0</x:v>
      </x:c>
      <x:c r="W132" s="39" t="str">
        <x:v>No</x:v>
      </x:c>
      <x:c r="X132" s="42"/>
      <x:c r="Y132" s="39" t="str">
        <x:v>No aplica</x:v>
      </x:c>
      <x:c r="Z132" s="39" t="n">
        <x:v>0</x:v>
      </x:c>
      <x:c r="AA132" s="39" t="str">
        <x:v>No responde</x:v>
      </x:c>
      <x:c r="AB132" s="39" t="str">
        <x:v>No</x:v>
      </x:c>
      <x:c r="AC132" s="39" t="str">
        <x:v>No</x:v>
      </x:c>
      <x:c r="AD132" s="46" t="n">
        <x:f>IF(C132="COMERCIAL",IF(AC132="Sí",40,0)+IF(D132="Recurrente",15,0)+IF(S132="Alto",25,IF(S132="Medio",12,0))+IF(R132&gt;=30000,20,IF(R132&gt;=10000,12,IF(R132&gt;=5000,6,0)))+IF(N132&lt;=Metadatos!$B$13+1,25,0)+IF(AB132="Sí",15,0)+IF(AA132="No responde",-10,0),IF(Y132="Incumplido",40,0)+IF(AND(W132="Sí",X132=Metadatos!$B$13),35,0)+IF(V132&gt;=20000,25,IF(V132&gt;=10000,18,IF(V132&gt;=5000,10,0)))+IF(U132&gt;=15,25,IF(U132&gt;=6,20,IF(U132&gt;=3,10,0)))+IF(Z132&gt;=3,20,IF(Z132&gt;=2,10,0))+IF(AA132="Respondió",-10,0)+IF(AND(Y132="Vigente",X132&gt;Metadatos!$B$13),-10,0))</x:f>
        <x:v>10</x:v>
      </x:c>
      <x:c r="AE132" s="39" t="str">
        <x:f>IF(AD132&gt;=70,"P1",IF(AD132&gt;=50,"P2",IF(AD132&gt;=30,"P3","P4")))</x:f>
        <x:v>P4</x:v>
      </x:c>
      <x:c r="AF132" s="39" t="str">
        <x:v>Prospecto sin urgencia inmediata</x:v>
      </x:c>
      <x:c r="AG132" s="39" t="str">
        <x:v>Pendiente</x:v>
      </x:c>
      <x:c r="AH132" s="39" t="str">
        <x:v>https://www.google.com/maps?q=-4.885436,-80.712285</x:v>
      </x:c>
      <x:c r="AI132" s="39" t="str">
        <x:v>SINTÉTICO</x:v>
      </x:c>
    </x:row>
    <x:row r="133">
      <x:c r="A133" s="39" t="str">
        <x:v>CLI-132</x:v>
      </x:c>
      <x:c r="B133" s="39" t="str">
        <x:v>Cliente 132</x:v>
      </x:c>
      <x:c r="C133" s="39" t="str">
        <x:v>COBRANZA</x:v>
      </x:c>
      <x:c r="D133" s="39" t="str">
        <x:v>Deudor</x:v>
      </x:c>
      <x:c r="E133" s="39" t="str">
        <x:v>Cobranza de crédito</x:v>
      </x:c>
      <x:c r="F133" s="39" t="str">
        <x:v>Recuperación</x:v>
      </x:c>
      <x:c r="G133" s="40" t="n">
        <x:v>-4.847153</x:v>
      </x:c>
      <x:c r="H133" s="40" t="n">
        <x:v>-80.691441</x:v>
      </x:c>
      <x:c r="I133" s="39" t="str">
        <x:v>Sullana</x:v>
      </x:c>
      <x:c r="J133" s="39" t="str">
        <x:v>Sullana</x:v>
      </x:c>
      <x:c r="K133" s="39" t="str">
        <x:v>AG04</x:v>
      </x:c>
      <x:c r="L133" s="39" t="str">
        <x:v>Mibanco Sullana</x:v>
      </x:c>
      <x:c r="M133" s="41" t="n">
        <x:v>4.96</x:v>
      </x:c>
      <x:c r="N133" s="42" t="n">
        <x:v>46291</x:v>
      </x:c>
      <x:c r="O133" s="43" t="n">
        <x:v>0.3958333333333333</x:v>
      </x:c>
      <x:c r="P133" s="43" t="n">
        <x:v>0.4791666666666667</x:v>
      </x:c>
      <x:c r="Q133" s="39" t="n">
        <x:v>40</x:v>
      </x:c>
      <x:c r="R133" s="44" t="n">
        <x:v>0</x:v>
      </x:c>
      <x:c r="S133" s="39" t="str">
        <x:v>No aplica</x:v>
      </x:c>
      <x:c r="T133" s="45" t="n">
        <x:v>0</x:v>
      </x:c>
      <x:c r="U133" s="39" t="n">
        <x:v>2</x:v>
      </x:c>
      <x:c r="V133" s="44" t="n">
        <x:v>24100</x:v>
      </x:c>
      <x:c r="W133" s="39" t="str">
        <x:v>Sí</x:v>
      </x:c>
      <x:c r="X133" s="42" t="n">
        <x:v>46291</x:v>
      </x:c>
      <x:c r="Y133" s="39" t="str">
        <x:v>Vigente</x:v>
      </x:c>
      <x:c r="Z133" s="39" t="n">
        <x:v>1</x:v>
      </x:c>
      <x:c r="AA133" s="39" t="str">
        <x:v>Respondió</x:v>
      </x:c>
      <x:c r="AB133" s="39" t="str">
        <x:v>No</x:v>
      </x:c>
      <x:c r="AC133" s="39" t="str">
        <x:v>Sí</x:v>
      </x:c>
      <x:c r="AD133" s="46" t="n">
        <x:f>IF(C133="COMERCIAL",IF(AC133="Sí",40,0)+IF(D133="Recurrente",15,0)+IF(S133="Alto",25,IF(S133="Medio",12,0))+IF(R133&gt;=30000,20,IF(R133&gt;=10000,12,IF(R133&gt;=5000,6,0)))+IF(N133&lt;=Metadatos!$B$13+1,25,0)+IF(AB133="Sí",15,0)+IF(AA133="No responde",-10,0),IF(Y133="Incumplido",40,0)+IF(AND(W133="Sí",X133=Metadatos!$B$13),35,0)+IF(V133&gt;=20000,25,IF(V133&gt;=10000,18,IF(V133&gt;=5000,10,0)))+IF(U133&gt;=15,25,IF(U133&gt;=6,20,IF(U133&gt;=3,10,0)))+IF(Z133&gt;=3,20,IF(Z133&gt;=2,10,0))+IF(AA133="Respondió",-10,0)+IF(AND(Y133="Vigente",X133&gt;Metadatos!$B$13),-10,0))</x:f>
        <x:v>50</x:v>
      </x:c>
      <x:c r="AE133" s="39" t="str">
        <x:f>IF(AD133&gt;=70,"P1",IF(AD133&gt;=50,"P2",IF(AD133&gt;=30,"P3","P4")))</x:f>
        <x:v>P2</x:v>
      </x:c>
      <x:c r="AF133" s="39" t="str">
        <x:v>Compromiso de pago con vencimiento hoy</x:v>
      </x:c>
      <x:c r="AG133" s="39" t="str">
        <x:v>Pendiente</x:v>
      </x:c>
      <x:c r="AH133" s="39" t="str">
        <x:v>https://www.google.com/maps?q=-4.847153,-80.691441</x:v>
      </x:c>
      <x:c r="AI133" s="39" t="str">
        <x:v>SINTÉTICO</x:v>
      </x:c>
    </x:row>
    <x:row r="134">
      <x:c r="A134" s="39" t="str">
        <x:v>CLI-133</x:v>
      </x:c>
      <x:c r="B134" s="39" t="str">
        <x:v>Cliente 133</x:v>
      </x:c>
      <x:c r="C134" s="39" t="str">
        <x:v>COMERCIAL</x:v>
      </x:c>
      <x:c r="D134" s="39" t="str">
        <x:v>Nuevo</x:v>
      </x:c>
      <x:c r="E134" s="39" t="str">
        <x:v>Crédito personal</x:v>
      </x:c>
      <x:c r="F134" s="39" t="str">
        <x:v>Contactado</x:v>
      </x:c>
      <x:c r="G134" s="40" t="n">
        <x:v>-4.856324</x:v>
      </x:c>
      <x:c r="H134" s="40" t="n">
        <x:v>-80.710868</x:v>
      </x:c>
      <x:c r="I134" s="39" t="str">
        <x:v>Sullana</x:v>
      </x:c>
      <x:c r="J134" s="39" t="str">
        <x:v>Sullana</x:v>
      </x:c>
      <x:c r="K134" s="39" t="str">
        <x:v>AG04</x:v>
      </x:c>
      <x:c r="L134" s="39" t="str">
        <x:v>Mibanco Sullana</x:v>
      </x:c>
      <x:c r="M134" s="41" t="n">
        <x:v>4.65</x:v>
      </x:c>
      <x:c r="N134" s="42" t="n">
        <x:v>46294</x:v>
      </x:c>
      <x:c r="O134" s="43" t="n">
        <x:v>0.5</x:v>
      </x:c>
      <x:c r="P134" s="43" t="n">
        <x:v>0.5833333333333334</x:v>
      </x:c>
      <x:c r="Q134" s="39" t="n">
        <x:v>25</x:v>
      </x:c>
      <x:c r="R134" s="44" t="n">
        <x:v>22500</x:v>
      </x:c>
      <x:c r="S134" s="39" t="str">
        <x:v>Medio</x:v>
      </x:c>
      <x:c r="T134" s="45" t="n">
        <x:v>0.6</x:v>
      </x:c>
      <x:c r="U134" s="39" t="n">
        <x:v>0</x:v>
      </x:c>
      <x:c r="V134" s="44" t="n">
        <x:v>0</x:v>
      </x:c>
      <x:c r="W134" s="39" t="str">
        <x:v>No</x:v>
      </x:c>
      <x:c r="X134" s="42"/>
      <x:c r="Y134" s="39" t="str">
        <x:v>No aplica</x:v>
      </x:c>
      <x:c r="Z134" s="39" t="n">
        <x:v>0</x:v>
      </x:c>
      <x:c r="AA134" s="39" t="str">
        <x:v>Respondió</x:v>
      </x:c>
      <x:c r="AB134" s="39" t="str">
        <x:v>No</x:v>
      </x:c>
      <x:c r="AC134" s="39" t="str">
        <x:v>No</x:v>
      </x:c>
      <x:c r="AD134" s="46" t="n">
        <x:f>IF(C134="COMERCIAL",IF(AC134="Sí",40,0)+IF(D134="Recurrente",15,0)+IF(S134="Alto",25,IF(S134="Medio",12,0))+IF(R134&gt;=30000,20,IF(R134&gt;=10000,12,IF(R134&gt;=5000,6,0)))+IF(N134&lt;=Metadatos!$B$13+1,25,0)+IF(AB134="Sí",15,0)+IF(AA134="No responde",-10,0),IF(Y134="Incumplido",40,0)+IF(AND(W134="Sí",X134=Metadatos!$B$13),35,0)+IF(V134&gt;=20000,25,IF(V134&gt;=10000,18,IF(V134&gt;=5000,10,0)))+IF(U134&gt;=15,25,IF(U134&gt;=6,20,IF(U134&gt;=3,10,0)))+IF(Z134&gt;=3,20,IF(Z134&gt;=2,10,0))+IF(AA134="Respondió",-10,0)+IF(AND(Y134="Vigente",X134&gt;Metadatos!$B$13),-10,0))</x:f>
        <x:v>24</x:v>
      </x:c>
      <x:c r="AE134" s="39" t="str">
        <x:f>IF(AD134&gt;=70,"P1",IF(AD134&gt;=50,"P2",IF(AD134&gt;=30,"P3","P4")))</x:f>
        <x:v>P4</x:v>
      </x:c>
      <x:c r="AF134" s="39" t="str">
        <x:v>Interés medio; requiere seguimiento</x:v>
      </x:c>
      <x:c r="AG134" s="39" t="str">
        <x:v>Programada</x:v>
      </x:c>
      <x:c r="AH134" s="39" t="str">
        <x:v>https://www.google.com/maps?q=-4.856324,-80.710868</x:v>
      </x:c>
      <x:c r="AI134" s="39" t="str">
        <x:v>SINTÉTICO</x:v>
      </x:c>
    </x:row>
    <x:row r="135">
      <x:c r="A135" s="39" t="str">
        <x:v>CLI-134</x:v>
      </x:c>
      <x:c r="B135" s="39" t="str">
        <x:v>Cliente 134</x:v>
      </x:c>
      <x:c r="C135" s="39" t="str">
        <x:v>COBRANZA</x:v>
      </x:c>
      <x:c r="D135" s="39" t="str">
        <x:v>Deudor</x:v>
      </x:c>
      <x:c r="E135" s="39" t="str">
        <x:v>Cobranza de crédito</x:v>
      </x:c>
      <x:c r="F135" s="39" t="str">
        <x:v>Recuperación</x:v>
      </x:c>
      <x:c r="G135" s="40" t="n">
        <x:v>-4.901176</x:v>
      </x:c>
      <x:c r="H135" s="40" t="n">
        <x:v>-80.710963</x:v>
      </x:c>
      <x:c r="I135" s="39" t="str">
        <x:v>Sullana</x:v>
      </x:c>
      <x:c r="J135" s="39" t="str">
        <x:v>Sullana</x:v>
      </x:c>
      <x:c r="K135" s="39" t="str">
        <x:v>AG04</x:v>
      </x:c>
      <x:c r="L135" s="39" t="str">
        <x:v>Mibanco Sullana</x:v>
      </x:c>
      <x:c r="M135" s="41" t="n">
        <x:v>2.72</x:v>
      </x:c>
      <x:c r="N135" s="42" t="n">
        <x:v>46291</x:v>
      </x:c>
      <x:c r="O135" s="43" t="n">
        <x:v>0.3333333333333333</x:v>
      </x:c>
      <x:c r="P135" s="43" t="n">
        <x:v>0.3958333333333333</x:v>
      </x:c>
      <x:c r="Q135" s="39" t="n">
        <x:v>45</x:v>
      </x:c>
      <x:c r="R135" s="44" t="n">
        <x:v>0</x:v>
      </x:c>
      <x:c r="S135" s="39" t="str">
        <x:v>No aplica</x:v>
      </x:c>
      <x:c r="T135" s="45" t="n">
        <x:v>0</x:v>
      </x:c>
      <x:c r="U135" s="39" t="n">
        <x:v>28</x:v>
      </x:c>
      <x:c r="V135" s="44" t="n">
        <x:v>2800</x:v>
      </x:c>
      <x:c r="W135" s="39" t="str">
        <x:v>No</x:v>
      </x:c>
      <x:c r="X135" s="42"/>
      <x:c r="Y135" s="39" t="str">
        <x:v>Sin compromiso</x:v>
      </x:c>
      <x:c r="Z135" s="39" t="n">
        <x:v>1</x:v>
      </x:c>
      <x:c r="AA135" s="39" t="str">
        <x:v>No responde</x:v>
      </x:c>
      <x:c r="AB135" s="39" t="str">
        <x:v>No</x:v>
      </x:c>
      <x:c r="AC135" s="39" t="str">
        <x:v>No</x:v>
      </x:c>
      <x:c r="AD135" s="46" t="n">
        <x:f>IF(C135="COMERCIAL",IF(AC135="Sí",40,0)+IF(D135="Recurrente",15,0)+IF(S135="Alto",25,IF(S135="Medio",12,0))+IF(R135&gt;=30000,20,IF(R135&gt;=10000,12,IF(R135&gt;=5000,6,0)))+IF(N135&lt;=Metadatos!$B$13+1,25,0)+IF(AB135="Sí",15,0)+IF(AA135="No responde",-10,0),IF(Y135="Incumplido",40,0)+IF(AND(W135="Sí",X135=Metadatos!$B$13),35,0)+IF(V135&gt;=20000,25,IF(V135&gt;=10000,18,IF(V135&gt;=5000,10,0)))+IF(U135&gt;=15,25,IF(U135&gt;=6,20,IF(U135&gt;=3,10,0)))+IF(Z135&gt;=3,20,IF(Z135&gt;=2,10,0))+IF(AA135="Respondió",-10,0)+IF(AND(Y135="Vigente",X135&gt;Metadatos!$B$13),-10,0))</x:f>
        <x:v>25</x:v>
      </x:c>
      <x:c r="AE135" s="39" t="str">
        <x:f>IF(AD135&gt;=70,"P1",IF(AD135&gt;=50,"P2",IF(AD135&gt;=30,"P3","P4")))</x:f>
        <x:v>P4</x:v>
      </x:c>
      <x:c r="AF135" s="39" t="str">
        <x:v>Seguimiento por días de mora</x:v>
      </x:c>
      <x:c r="AG135" s="39" t="str">
        <x:v>Pendiente</x:v>
      </x:c>
      <x:c r="AH135" s="39" t="str">
        <x:v>https://www.google.com/maps?q=-4.901176,-80.710963</x:v>
      </x:c>
      <x:c r="AI135" s="39" t="str">
        <x:v>SINTÉTICO</x:v>
      </x:c>
    </x:row>
    <x:row r="136">
      <x:c r="A136" s="39" t="str">
        <x:v>CLI-135</x:v>
      </x:c>
      <x:c r="B136" s="39" t="str">
        <x:v>Cliente 135</x:v>
      </x:c>
      <x:c r="C136" s="39" t="str">
        <x:v>COMERCIAL</x:v>
      </x:c>
      <x:c r="D136" s="39" t="str">
        <x:v>Nuevo</x:v>
      </x:c>
      <x:c r="E136" s="39" t="str">
        <x:v>Capital de trabajo</x:v>
      </x:c>
      <x:c r="F136" s="39" t="str">
        <x:v>Prospecto</x:v>
      </x:c>
      <x:c r="G136" s="40" t="n">
        <x:v>-4.916283</x:v>
      </x:c>
      <x:c r="H136" s="40" t="n">
        <x:v>-80.699462</x:v>
      </x:c>
      <x:c r="I136" s="39" t="str">
        <x:v>Sullana</x:v>
      </x:c>
      <x:c r="J136" s="39" t="str">
        <x:v>Sullana</x:v>
      </x:c>
      <x:c r="K136" s="39" t="str">
        <x:v>AG04</x:v>
      </x:c>
      <x:c r="L136" s="39" t="str">
        <x:v>Mibanco Sullana</x:v>
      </x:c>
      <x:c r="M136" s="41" t="n">
        <x:v>3.01</x:v>
      </x:c>
      <x:c r="N136" s="42" t="n">
        <x:v>46293</x:v>
      </x:c>
      <x:c r="O136" s="43" t="n">
        <x:v>0.4791666666666667</x:v>
      </x:c>
      <x:c r="P136" s="43" t="n">
        <x:v>0.5625</x:v>
      </x:c>
      <x:c r="Q136" s="39" t="n">
        <x:v>50</x:v>
      </x:c>
      <x:c r="R136" s="44" t="n">
        <x:v>42300</x:v>
      </x:c>
      <x:c r="S136" s="39" t="str">
        <x:v>Bajo</x:v>
      </x:c>
      <x:c r="T136" s="45" t="n">
        <x:v>0.11</x:v>
      </x:c>
      <x:c r="U136" s="39" t="n">
        <x:v>0</x:v>
      </x:c>
      <x:c r="V136" s="44" t="n">
        <x:v>0</x:v>
      </x:c>
      <x:c r="W136" s="39" t="str">
        <x:v>No</x:v>
      </x:c>
      <x:c r="X136" s="42"/>
      <x:c r="Y136" s="39" t="str">
        <x:v>No aplica</x:v>
      </x:c>
      <x:c r="Z136" s="39" t="n">
        <x:v>0</x:v>
      </x:c>
      <x:c r="AA136" s="39" t="str">
        <x:v>Respondió</x:v>
      </x:c>
      <x:c r="AB136" s="39" t="str">
        <x:v>No</x:v>
      </x:c>
      <x:c r="AC136" s="39" t="str">
        <x:v>No</x:v>
      </x:c>
      <x:c r="AD136" s="46" t="n">
        <x:f>IF(C136="COMERCIAL",IF(AC136="Sí",40,0)+IF(D136="Recurrente",15,0)+IF(S136="Alto",25,IF(S136="Medio",12,0))+IF(R136&gt;=30000,20,IF(R136&gt;=10000,12,IF(R136&gt;=5000,6,0)))+IF(N136&lt;=Metadatos!$B$13+1,25,0)+IF(AB136="Sí",15,0)+IF(AA136="No responde",-10,0),IF(Y136="Incumplido",40,0)+IF(AND(W136="Sí",X136=Metadatos!$B$13),35,0)+IF(V136&gt;=20000,25,IF(V136&gt;=10000,18,IF(V136&gt;=5000,10,0)))+IF(U136&gt;=15,25,IF(U136&gt;=6,20,IF(U136&gt;=3,10,0)))+IF(Z136&gt;=3,20,IF(Z136&gt;=2,10,0))+IF(AA136="Respondió",-10,0)+IF(AND(Y136="Vigente",X136&gt;Metadatos!$B$13),-10,0))</x:f>
        <x:v>20</x:v>
      </x:c>
      <x:c r="AE136" s="39" t="str">
        <x:f>IF(AD136&gt;=70,"P1",IF(AD136&gt;=50,"P2",IF(AD136&gt;=30,"P3","P4")))</x:f>
        <x:v>P4</x:v>
      </x:c>
      <x:c r="AF136" s="39" t="str">
        <x:v>Prospecto sin urgencia inmediata</x:v>
      </x:c>
      <x:c r="AG136" s="39" t="str">
        <x:v>Programada</x:v>
      </x:c>
      <x:c r="AH136" s="39" t="str">
        <x:v>https://www.google.com/maps?q=-4.916283,-80.699462</x:v>
      </x:c>
      <x:c r="AI136" s="39" t="str">
        <x:v>SINTÉTICO</x:v>
      </x:c>
    </x:row>
    <x:row r="137">
      <x:c r="A137" s="39" t="str">
        <x:v>CLI-136</x:v>
      </x:c>
      <x:c r="B137" s="39" t="str">
        <x:v>Cliente 136</x:v>
      </x:c>
      <x:c r="C137" s="39" t="str">
        <x:v>COBRANZA</x:v>
      </x:c>
      <x:c r="D137" s="39" t="str">
        <x:v>Deudor</x:v>
      </x:c>
      <x:c r="E137" s="39" t="str">
        <x:v>Cobranza de crédito</x:v>
      </x:c>
      <x:c r="F137" s="39" t="str">
        <x:v>Recuperación</x:v>
      </x:c>
      <x:c r="G137" s="40" t="n">
        <x:v>-4.860503</x:v>
      </x:c>
      <x:c r="H137" s="40" t="n">
        <x:v>-80.717495</x:v>
      </x:c>
      <x:c r="I137" s="39" t="str">
        <x:v>Sullana</x:v>
      </x:c>
      <x:c r="J137" s="39" t="str">
        <x:v>Sullana</x:v>
      </x:c>
      <x:c r="K137" s="39" t="str">
        <x:v>AG04</x:v>
      </x:c>
      <x:c r="L137" s="39" t="str">
        <x:v>Mibanco Sullana</x:v>
      </x:c>
      <x:c r="M137" s="41" t="n">
        <x:v>4.73</x:v>
      </x:c>
      <x:c r="N137" s="42" t="n">
        <x:v>46291</x:v>
      </x:c>
      <x:c r="O137" s="43" t="n">
        <x:v>0.3333333333333333</x:v>
      </x:c>
      <x:c r="P137" s="43" t="n">
        <x:v>0.4166666666666667</x:v>
      </x:c>
      <x:c r="Q137" s="39" t="n">
        <x:v>35</x:v>
      </x:c>
      <x:c r="R137" s="44" t="n">
        <x:v>0</x:v>
      </x:c>
      <x:c r="S137" s="39" t="str">
        <x:v>No aplica</x:v>
      </x:c>
      <x:c r="T137" s="45" t="n">
        <x:v>0</x:v>
      </x:c>
      <x:c r="U137" s="39" t="n">
        <x:v>12</x:v>
      </x:c>
      <x:c r="V137" s="44" t="n">
        <x:v>12800</x:v>
      </x:c>
      <x:c r="W137" s="39" t="str">
        <x:v>Sí</x:v>
      </x:c>
      <x:c r="X137" s="42" t="n">
        <x:v>46291</x:v>
      </x:c>
      <x:c r="Y137" s="39" t="str">
        <x:v>Vigente</x:v>
      </x:c>
      <x:c r="Z137" s="39" t="n">
        <x:v>1</x:v>
      </x:c>
      <x:c r="AA137" s="39" t="str">
        <x:v>Respondió</x:v>
      </x:c>
      <x:c r="AB137" s="39" t="str">
        <x:v>No</x:v>
      </x:c>
      <x:c r="AC137" s="39" t="str">
        <x:v>Sí</x:v>
      </x:c>
      <x:c r="AD137" s="46" t="n">
        <x:f>IF(C137="COMERCIAL",IF(AC137="Sí",40,0)+IF(D137="Recurrente",15,0)+IF(S137="Alto",25,IF(S137="Medio",12,0))+IF(R137&gt;=30000,20,IF(R137&gt;=10000,12,IF(R137&gt;=5000,6,0)))+IF(N137&lt;=Metadatos!$B$13+1,25,0)+IF(AB137="Sí",15,0)+IF(AA137="No responde",-10,0),IF(Y137="Incumplido",40,0)+IF(AND(W137="Sí",X137=Metadatos!$B$13),35,0)+IF(V137&gt;=20000,25,IF(V137&gt;=10000,18,IF(V137&gt;=5000,10,0)))+IF(U137&gt;=15,25,IF(U137&gt;=6,20,IF(U137&gt;=3,10,0)))+IF(Z137&gt;=3,20,IF(Z137&gt;=2,10,0))+IF(AA137="Respondió",-10,0)+IF(AND(Y137="Vigente",X137&gt;Metadatos!$B$13),-10,0))</x:f>
        <x:v>63</x:v>
      </x:c>
      <x:c r="AE137" s="39" t="str">
        <x:f>IF(AD137&gt;=70,"P1",IF(AD137&gt;=50,"P2",IF(AD137&gt;=30,"P3","P4")))</x:f>
        <x:v>P2</x:v>
      </x:c>
      <x:c r="AF137" s="39" t="str">
        <x:v>Compromiso de pago con vencimiento hoy</x:v>
      </x:c>
      <x:c r="AG137" s="39" t="str">
        <x:v>Pendiente</x:v>
      </x:c>
      <x:c r="AH137" s="39" t="str">
        <x:v>https://www.google.com/maps?q=-4.860503,-80.717495</x:v>
      </x:c>
      <x:c r="AI137" s="39" t="str">
        <x:v>SINTÉTICO</x:v>
      </x:c>
    </x:row>
    <x:row r="138">
      <x:c r="A138" s="39" t="str">
        <x:v>CLI-137</x:v>
      </x:c>
      <x:c r="B138" s="39" t="str">
        <x:v>Cliente 137</x:v>
      </x:c>
      <x:c r="C138" s="39" t="str">
        <x:v>COMERCIAL</x:v>
      </x:c>
      <x:c r="D138" s="39" t="str">
        <x:v>Recurrente</x:v>
      </x:c>
      <x:c r="E138" s="39" t="str">
        <x:v>Crédito para negocio</x:v>
      </x:c>
      <x:c r="F138" s="39" t="str">
        <x:v>Evaluación</x:v>
      </x:c>
      <x:c r="G138" s="40" t="n">
        <x:v>-4.887188</x:v>
      </x:c>
      <x:c r="H138" s="40" t="n">
        <x:v>-80.700211</x:v>
      </x:c>
      <x:c r="I138" s="39" t="str">
        <x:v>Sullana</x:v>
      </x:c>
      <x:c r="J138" s="39" t="str">
        <x:v>Sullana</x:v>
      </x:c>
      <x:c r="K138" s="39" t="str">
        <x:v>AG04</x:v>
      </x:c>
      <x:c r="L138" s="39" t="str">
        <x:v>Mibanco Sullana</x:v>
      </x:c>
      <x:c r="M138" s="41" t="n">
        <x:v>1.4</x:v>
      </x:c>
      <x:c r="N138" s="42" t="n">
        <x:v>46291</x:v>
      </x:c>
      <x:c r="O138" s="43" t="n">
        <x:v>0.3333333333333333</x:v>
      </x:c>
      <x:c r="P138" s="43" t="n">
        <x:v>0.4166666666666667</x:v>
      </x:c>
      <x:c r="Q138" s="39" t="n">
        <x:v>25</x:v>
      </x:c>
      <x:c r="R138" s="44" t="n">
        <x:v>46900</x:v>
      </x:c>
      <x:c r="S138" s="39" t="str">
        <x:v>Alto</x:v>
      </x:c>
      <x:c r="T138" s="45" t="n">
        <x:v>0.84</x:v>
      </x:c>
      <x:c r="U138" s="39" t="n">
        <x:v>0</x:v>
      </x:c>
      <x:c r="V138" s="44" t="n">
        <x:v>0</x:v>
      </x:c>
      <x:c r="W138" s="39" t="str">
        <x:v>No</x:v>
      </x:c>
      <x:c r="X138" s="42"/>
      <x:c r="Y138" s="39" t="str">
        <x:v>No aplica</x:v>
      </x:c>
      <x:c r="Z138" s="39" t="n">
        <x:v>0</x:v>
      </x:c>
      <x:c r="AA138" s="39" t="str">
        <x:v>Respondió</x:v>
      </x:c>
      <x:c r="AB138" s="39" t="str">
        <x:v>Sí</x:v>
      </x:c>
      <x:c r="AC138" s="39" t="str">
        <x:v>Sí</x:v>
      </x:c>
      <x:c r="AD138" s="46" t="n">
        <x:f>IF(C138="COMERCIAL",IF(AC138="Sí",40,0)+IF(D138="Recurrente",15,0)+IF(S138="Alto",25,IF(S138="Medio",12,0))+IF(R138&gt;=30000,20,IF(R138&gt;=10000,12,IF(R138&gt;=5000,6,0)))+IF(N138&lt;=Metadatos!$B$13+1,25,0)+IF(AB138="Sí",15,0)+IF(AA138="No responde",-10,0),IF(Y138="Incumplido",40,0)+IF(AND(W138="Sí",X138=Metadatos!$B$13),35,0)+IF(V138&gt;=20000,25,IF(V138&gt;=10000,18,IF(V138&gt;=5000,10,0)))+IF(U138&gt;=15,25,IF(U138&gt;=6,20,IF(U138&gt;=3,10,0)))+IF(Z138&gt;=3,20,IF(Z138&gt;=2,10,0))+IF(AA138="Respondió",-10,0)+IF(AND(Y138="Vigente",X138&gt;Metadatos!$B$13),-10,0))</x:f>
        <x:v>140</x:v>
      </x:c>
      <x:c r="AE138" s="39" t="str">
        <x:f>IF(AD138&gt;=70,"P1",IF(AD138&gt;=50,"P2",IF(AD138&gt;=30,"P3","P4")))</x:f>
        <x:v>P1</x:v>
      </x:c>
      <x:c r="AF138" s="39" t="str">
        <x:v>Operación prevista hoy y cliente recurrente</x:v>
      </x:c>
      <x:c r="AG138" s="39" t="str">
        <x:v>Pendiente</x:v>
      </x:c>
      <x:c r="AH138" s="39" t="str">
        <x:v>https://www.google.com/maps?q=-4.887188,-80.700211</x:v>
      </x:c>
      <x:c r="AI138" s="39" t="str">
        <x:v>SINTÉTICO</x:v>
      </x:c>
    </x:row>
    <x:row r="139">
      <x:c r="A139" s="39" t="str">
        <x:v>CLI-138</x:v>
      </x:c>
      <x:c r="B139" s="39" t="str">
        <x:v>Cliente 138</x:v>
      </x:c>
      <x:c r="C139" s="39" t="str">
        <x:v>COBRANZA</x:v>
      </x:c>
      <x:c r="D139" s="39" t="str">
        <x:v>Deudor</x:v>
      </x:c>
      <x:c r="E139" s="39" t="str">
        <x:v>Cobranza de crédito</x:v>
      </x:c>
      <x:c r="F139" s="39" t="str">
        <x:v>Recuperación</x:v>
      </x:c>
      <x:c r="G139" s="40" t="n">
        <x:v>-4.917614</x:v>
      </x:c>
      <x:c r="H139" s="40" t="n">
        <x:v>-80.691626</x:v>
      </x:c>
      <x:c r="I139" s="39" t="str">
        <x:v>Sullana</x:v>
      </x:c>
      <x:c r="J139" s="39" t="str">
        <x:v>Sullana</x:v>
      </x:c>
      <x:c r="K139" s="39" t="str">
        <x:v>AG04</x:v>
      </x:c>
      <x:c r="L139" s="39" t="str">
        <x:v>Mibanco Sullana</x:v>
      </x:c>
      <x:c r="M139" s="41" t="n">
        <x:v>2.92</x:v>
      </x:c>
      <x:c r="N139" s="42" t="n">
        <x:v>46291</x:v>
      </x:c>
      <x:c r="O139" s="43" t="n">
        <x:v>0.4791666666666667</x:v>
      </x:c>
      <x:c r="P139" s="43" t="n">
        <x:v>0.5416666666666666</x:v>
      </x:c>
      <x:c r="Q139" s="39" t="n">
        <x:v>25</x:v>
      </x:c>
      <x:c r="R139" s="44" t="n">
        <x:v>0</x:v>
      </x:c>
      <x:c r="S139" s="39" t="str">
        <x:v>No aplica</x:v>
      </x:c>
      <x:c r="T139" s="45" t="n">
        <x:v>0</x:v>
      </x:c>
      <x:c r="U139" s="39" t="n">
        <x:v>8</x:v>
      </x:c>
      <x:c r="V139" s="44" t="n">
        <x:v>23900</x:v>
      </x:c>
      <x:c r="W139" s="39" t="str">
        <x:v>No</x:v>
      </x:c>
      <x:c r="X139" s="42"/>
      <x:c r="Y139" s="39" t="str">
        <x:v>Sin compromiso</x:v>
      </x:c>
      <x:c r="Z139" s="39" t="n">
        <x:v>1</x:v>
      </x:c>
      <x:c r="AA139" s="39" t="str">
        <x:v>No responde</x:v>
      </x:c>
      <x:c r="AB139" s="39" t="str">
        <x:v>No</x:v>
      </x:c>
      <x:c r="AC139" s="39" t="str">
        <x:v>No</x:v>
      </x:c>
      <x:c r="AD139" s="46" t="n">
        <x:f>IF(C139="COMERCIAL",IF(AC139="Sí",40,0)+IF(D139="Recurrente",15,0)+IF(S139="Alto",25,IF(S139="Medio",12,0))+IF(R139&gt;=30000,20,IF(R139&gt;=10000,12,IF(R139&gt;=5000,6,0)))+IF(N139&lt;=Metadatos!$B$13+1,25,0)+IF(AB139="Sí",15,0)+IF(AA139="No responde",-10,0),IF(Y139="Incumplido",40,0)+IF(AND(W139="Sí",X139=Metadatos!$B$13),35,0)+IF(V139&gt;=20000,25,IF(V139&gt;=10000,18,IF(V139&gt;=5000,10,0)))+IF(U139&gt;=15,25,IF(U139&gt;=6,20,IF(U139&gt;=3,10,0)))+IF(Z139&gt;=3,20,IF(Z139&gt;=2,10,0))+IF(AA139="Respondió",-10,0)+IF(AND(Y139="Vigente",X139&gt;Metadatos!$B$13),-10,0))</x:f>
        <x:v>45</x:v>
      </x:c>
      <x:c r="AE139" s="39" t="str">
        <x:f>IF(AD139&gt;=70,"P1",IF(AD139&gt;=50,"P2",IF(AD139&gt;=30,"P3","P4")))</x:f>
        <x:v>P3</x:v>
      </x:c>
      <x:c r="AF139" s="39" t="str">
        <x:v>Seguimiento por días de mora</x:v>
      </x:c>
      <x:c r="AG139" s="39" t="str">
        <x:v>Pendiente</x:v>
      </x:c>
      <x:c r="AH139" s="39" t="str">
        <x:v>https://www.google.com/maps?q=-4.917614,-80.691626</x:v>
      </x:c>
      <x:c r="AI139" s="39" t="str">
        <x:v>SINTÉTICO</x:v>
      </x:c>
    </x:row>
    <x:row r="140">
      <x:c r="A140" s="39" t="str">
        <x:v>CLI-139</x:v>
      </x:c>
      <x:c r="B140" s="39" t="str">
        <x:v>Cliente 139</x:v>
      </x:c>
      <x:c r="C140" s="39" t="str">
        <x:v>COMERCIAL</x:v>
      </x:c>
      <x:c r="D140" s="39" t="str">
        <x:v>Recurrente</x:v>
      </x:c>
      <x:c r="E140" s="39" t="str">
        <x:v>Capital de trabajo</x:v>
      </x:c>
      <x:c r="F140" s="39" t="str">
        <x:v>Prospecto</x:v>
      </x:c>
      <x:c r="G140" s="40" t="n">
        <x:v>-4.896936</x:v>
      </x:c>
      <x:c r="H140" s="40" t="n">
        <x:v>-80.664917</x:v>
      </x:c>
      <x:c r="I140" s="39" t="str">
        <x:v>Sullana</x:v>
      </x:c>
      <x:c r="J140" s="39" t="str">
        <x:v>Sullana</x:v>
      </x:c>
      <x:c r="K140" s="39" t="str">
        <x:v>AG04</x:v>
      </x:c>
      <x:c r="L140" s="39" t="str">
        <x:v>Mibanco Sullana</x:v>
      </x:c>
      <x:c r="M140" s="41" t="n">
        <x:v>2.67</x:v>
      </x:c>
      <x:c r="N140" s="42" t="n">
        <x:v>46294</x:v>
      </x:c>
      <x:c r="O140" s="43" t="n">
        <x:v>0.6041666666666666</x:v>
      </x:c>
      <x:c r="P140" s="43" t="n">
        <x:v>0.6666666666666666</x:v>
      </x:c>
      <x:c r="Q140" s="39" t="n">
        <x:v>60</x:v>
      </x:c>
      <x:c r="R140" s="44" t="n">
        <x:v>13600</x:v>
      </x:c>
      <x:c r="S140" s="39" t="str">
        <x:v>Bajo</x:v>
      </x:c>
      <x:c r="T140" s="45" t="n">
        <x:v>0.17</x:v>
      </x:c>
      <x:c r="U140" s="39" t="n">
        <x:v>0</x:v>
      </x:c>
      <x:c r="V140" s="44" t="n">
        <x:v>0</x:v>
      </x:c>
      <x:c r="W140" s="39" t="str">
        <x:v>No</x:v>
      </x:c>
      <x:c r="X140" s="42"/>
      <x:c r="Y140" s="39" t="str">
        <x:v>No aplica</x:v>
      </x:c>
      <x:c r="Z140" s="39" t="n">
        <x:v>0</x:v>
      </x:c>
      <x:c r="AA140" s="39" t="str">
        <x:v>No responde</x:v>
      </x:c>
      <x:c r="AB140" s="39" t="str">
        <x:v>No</x:v>
      </x:c>
      <x:c r="AC140" s="39" t="str">
        <x:v>No</x:v>
      </x:c>
      <x:c r="AD140" s="46" t="n">
        <x:f>IF(C140="COMERCIAL",IF(AC140="Sí",40,0)+IF(D140="Recurrente",15,0)+IF(S140="Alto",25,IF(S140="Medio",12,0))+IF(R140&gt;=30000,20,IF(R140&gt;=10000,12,IF(R140&gt;=5000,6,0)))+IF(N140&lt;=Metadatos!$B$13+1,25,0)+IF(AB140="Sí",15,0)+IF(AA140="No responde",-10,0),IF(Y140="Incumplido",40,0)+IF(AND(W140="Sí",X140=Metadatos!$B$13),35,0)+IF(V140&gt;=20000,25,IF(V140&gt;=10000,18,IF(V140&gt;=5000,10,0)))+IF(U140&gt;=15,25,IF(U140&gt;=6,20,IF(U140&gt;=3,10,0)))+IF(Z140&gt;=3,20,IF(Z140&gt;=2,10,0))+IF(AA140="Respondió",-10,0)+IF(AND(Y140="Vigente",X140&gt;Metadatos!$B$13),-10,0))</x:f>
        <x:v>17</x:v>
      </x:c>
      <x:c r="AE140" s="39" t="str">
        <x:f>IF(AD140&gt;=70,"P1",IF(AD140&gt;=50,"P2",IF(AD140&gt;=30,"P3","P4")))</x:f>
        <x:v>P4</x:v>
      </x:c>
      <x:c r="AF140" s="39" t="str">
        <x:v>Prospecto sin urgencia inmediata</x:v>
      </x:c>
      <x:c r="AG140" s="39" t="str">
        <x:v>Pendiente</x:v>
      </x:c>
      <x:c r="AH140" s="39" t="str">
        <x:v>https://www.google.com/maps?q=-4.896936,-80.664917</x:v>
      </x:c>
      <x:c r="AI140" s="39" t="str">
        <x:v>SINTÉTICO</x:v>
      </x:c>
    </x:row>
    <x:row r="141">
      <x:c r="A141" s="39" t="str">
        <x:v>CLI-140</x:v>
      </x:c>
      <x:c r="B141" s="39" t="str">
        <x:v>Cliente 140</x:v>
      </x:c>
      <x:c r="C141" s="39" t="str">
        <x:v>COBRANZA</x:v>
      </x:c>
      <x:c r="D141" s="39" t="str">
        <x:v>Deudor</x:v>
      </x:c>
      <x:c r="E141" s="39" t="str">
        <x:v>Cobranza de crédito</x:v>
      </x:c>
      <x:c r="F141" s="39" t="str">
        <x:v>Recuperación</x:v>
      </x:c>
      <x:c r="G141" s="40" t="n">
        <x:v>-4.908419</x:v>
      </x:c>
      <x:c r="H141" s="40" t="n">
        <x:v>-80.695933</x:v>
      </x:c>
      <x:c r="I141" s="39" t="str">
        <x:v>Sullana</x:v>
      </x:c>
      <x:c r="J141" s="39" t="str">
        <x:v>Sullana</x:v>
      </x:c>
      <x:c r="K141" s="39" t="str">
        <x:v>AG04</x:v>
      </x:c>
      <x:c r="L141" s="39" t="str">
        <x:v>Mibanco Sullana</x:v>
      </x:c>
      <x:c r="M141" s="41" t="n">
        <x:v>2.05</x:v>
      </x:c>
      <x:c r="N141" s="42" t="n">
        <x:v>46292</x:v>
      </x:c>
      <x:c r="O141" s="43" t="n">
        <x:v>0.375</x:v>
      </x:c>
      <x:c r="P141" s="43" t="n">
        <x:v>0.4166666666666667</x:v>
      </x:c>
      <x:c r="Q141" s="39" t="n">
        <x:v>25</x:v>
      </x:c>
      <x:c r="R141" s="44" t="n">
        <x:v>0</x:v>
      </x:c>
      <x:c r="S141" s="39" t="str">
        <x:v>No aplica</x:v>
      </x:c>
      <x:c r="T141" s="45" t="n">
        <x:v>0</x:v>
      </x:c>
      <x:c r="U141" s="39" t="n">
        <x:v>4</x:v>
      </x:c>
      <x:c r="V141" s="44" t="n">
        <x:v>20200</x:v>
      </x:c>
      <x:c r="W141" s="39" t="str">
        <x:v>Sí</x:v>
      </x:c>
      <x:c r="X141" s="42" t="n">
        <x:v>46294</x:v>
      </x:c>
      <x:c r="Y141" s="39" t="str">
        <x:v>Vigente</x:v>
      </x:c>
      <x:c r="Z141" s="39" t="n">
        <x:v>4</x:v>
      </x:c>
      <x:c r="AA141" s="39" t="str">
        <x:v>Respondió</x:v>
      </x:c>
      <x:c r="AB141" s="39" t="str">
        <x:v>No</x:v>
      </x:c>
      <x:c r="AC141" s="39" t="str">
        <x:v>No</x:v>
      </x:c>
      <x:c r="AD141" s="46" t="n">
        <x:f>IF(C141="COMERCIAL",IF(AC141="Sí",40,0)+IF(D141="Recurrente",15,0)+IF(S141="Alto",25,IF(S141="Medio",12,0))+IF(R141&gt;=30000,20,IF(R141&gt;=10000,12,IF(R141&gt;=5000,6,0)))+IF(N141&lt;=Metadatos!$B$13+1,25,0)+IF(AB141="Sí",15,0)+IF(AA141="No responde",-10,0),IF(Y141="Incumplido",40,0)+IF(AND(W141="Sí",X141=Metadatos!$B$13),35,0)+IF(V141&gt;=20000,25,IF(V141&gt;=10000,18,IF(V141&gt;=5000,10,0)))+IF(U141&gt;=15,25,IF(U141&gt;=6,20,IF(U141&gt;=3,10,0)))+IF(Z141&gt;=3,20,IF(Z141&gt;=2,10,0))+IF(AA141="Respondió",-10,0)+IF(AND(Y141="Vigente",X141&gt;Metadatos!$B$13),-10,0))</x:f>
        <x:v>35</x:v>
      </x:c>
      <x:c r="AE141" s="39" t="str">
        <x:f>IF(AD141&gt;=70,"P1",IF(AD141&gt;=50,"P2",IF(AD141&gt;=30,"P3","P4")))</x:f>
        <x:v>P3</x:v>
      </x:c>
      <x:c r="AF141" s="39" t="str">
        <x:v>Varios intentos sin respuesta</x:v>
      </x:c>
      <x:c r="AG141" s="39" t="str">
        <x:v>Pendiente</x:v>
      </x:c>
      <x:c r="AH141" s="39" t="str">
        <x:v>https://www.google.com/maps?q=-4.908419,-80.695933</x:v>
      </x:c>
      <x:c r="AI141" s="39" t="str">
        <x:v>SINTÉTICO</x:v>
      </x:c>
    </x:row>
    <x:row r="142">
      <x:c r="A142" s="39" t="str">
        <x:v>CLI-141</x:v>
      </x:c>
      <x:c r="B142" s="39" t="str">
        <x:v>Cliente 141</x:v>
      </x:c>
      <x:c r="C142" s="39" t="str">
        <x:v>COMERCIAL</x:v>
      </x:c>
      <x:c r="D142" s="39" t="str">
        <x:v>Nuevo</x:v>
      </x:c>
      <x:c r="E142" s="39" t="str">
        <x:v>Crédito para negocio</x:v>
      </x:c>
      <x:c r="F142" s="39" t="str">
        <x:v>Negociación</x:v>
      </x:c>
      <x:c r="G142" s="40" t="n">
        <x:v>-4.855605</x:v>
      </x:c>
      <x:c r="H142" s="40" t="n">
        <x:v>-80.711803</x:v>
      </x:c>
      <x:c r="I142" s="39" t="str">
        <x:v>Sullana</x:v>
      </x:c>
      <x:c r="J142" s="39" t="str">
        <x:v>Sullana</x:v>
      </x:c>
      <x:c r="K142" s="39" t="str">
        <x:v>AG04</x:v>
      </x:c>
      <x:c r="L142" s="39" t="str">
        <x:v>Mibanco Sullana</x:v>
      </x:c>
      <x:c r="M142" s="41" t="n">
        <x:v>4.77</x:v>
      </x:c>
      <x:c r="N142" s="42" t="n">
        <x:v>46293</x:v>
      </x:c>
      <x:c r="O142" s="43" t="n">
        <x:v>0.5</x:v>
      </x:c>
      <x:c r="P142" s="43" t="n">
        <x:v>0.5416666666666666</x:v>
      </x:c>
      <x:c r="Q142" s="39" t="n">
        <x:v>30</x:v>
      </x:c>
      <x:c r="R142" s="44" t="n">
        <x:v>48600</x:v>
      </x:c>
      <x:c r="S142" s="39" t="str">
        <x:v>Alto</x:v>
      </x:c>
      <x:c r="T142" s="45" t="n">
        <x:v>0.67</x:v>
      </x:c>
      <x:c r="U142" s="39" t="n">
        <x:v>0</x:v>
      </x:c>
      <x:c r="V142" s="44" t="n">
        <x:v>0</x:v>
      </x:c>
      <x:c r="W142" s="39" t="str">
        <x:v>No</x:v>
      </x:c>
      <x:c r="X142" s="42"/>
      <x:c r="Y142" s="39" t="str">
        <x:v>No aplica</x:v>
      </x:c>
      <x:c r="Z142" s="39" t="n">
        <x:v>0</x:v>
      </x:c>
      <x:c r="AA142" s="39" t="str">
        <x:v>No responde</x:v>
      </x:c>
      <x:c r="AB142" s="39" t="str">
        <x:v>No</x:v>
      </x:c>
      <x:c r="AC142" s="39" t="str">
        <x:v>No</x:v>
      </x:c>
      <x:c r="AD142" s="46" t="n">
        <x:f>IF(C142="COMERCIAL",IF(AC142="Sí",40,0)+IF(D142="Recurrente",15,0)+IF(S142="Alto",25,IF(S142="Medio",12,0))+IF(R142&gt;=30000,20,IF(R142&gt;=10000,12,IF(R142&gt;=5000,6,0)))+IF(N142&lt;=Metadatos!$B$13+1,25,0)+IF(AB142="Sí",15,0)+IF(AA142="No responde",-10,0),IF(Y142="Incumplido",40,0)+IF(AND(W142="Sí",X142=Metadatos!$B$13),35,0)+IF(V142&gt;=20000,25,IF(V142&gt;=10000,18,IF(V142&gt;=5000,10,0)))+IF(U142&gt;=15,25,IF(U142&gt;=6,20,IF(U142&gt;=3,10,0)))+IF(Z142&gt;=3,20,IF(Z142&gt;=2,10,0))+IF(AA142="Respondió",-10,0)+IF(AND(Y142="Vigente",X142&gt;Metadatos!$B$13),-10,0))</x:f>
        <x:v>35</x:v>
      </x:c>
      <x:c r="AE142" s="39" t="str">
        <x:f>IF(AD142&gt;=70,"P1",IF(AD142&gt;=50,"P2",IF(AD142&gt;=30,"P3","P4")))</x:f>
        <x:v>P3</x:v>
      </x:c>
      <x:c r="AF142" s="39" t="str">
        <x:v>Interés alto y monto comercial alto</x:v>
      </x:c>
      <x:c r="AG142" s="39" t="str">
        <x:v>Programada</x:v>
      </x:c>
      <x:c r="AH142" s="39" t="str">
        <x:v>https://www.google.com/maps?q=-4.855605,-80.711803</x:v>
      </x:c>
      <x:c r="AI142" s="39" t="str">
        <x:v>SINTÉTICO</x:v>
      </x:c>
    </x:row>
    <x:row r="143">
      <x:c r="A143" s="39" t="str">
        <x:v>CLI-142</x:v>
      </x:c>
      <x:c r="B143" s="39" t="str">
        <x:v>Cliente 142</x:v>
      </x:c>
      <x:c r="C143" s="39" t="str">
        <x:v>COBRANZA</x:v>
      </x:c>
      <x:c r="D143" s="39" t="str">
        <x:v>Deudor</x:v>
      </x:c>
      <x:c r="E143" s="39" t="str">
        <x:v>Cobranza de crédito</x:v>
      </x:c>
      <x:c r="F143" s="39" t="str">
        <x:v>Recuperación</x:v>
      </x:c>
      <x:c r="G143" s="40" t="n">
        <x:v>-4.877591</x:v>
      </x:c>
      <x:c r="H143" s="40" t="n">
        <x:v>-80.690356</x:v>
      </x:c>
      <x:c r="I143" s="39" t="str">
        <x:v>Sullana</x:v>
      </x:c>
      <x:c r="J143" s="39" t="str">
        <x:v>Sullana</x:v>
      </x:c>
      <x:c r="K143" s="39" t="str">
        <x:v>AG04</x:v>
      </x:c>
      <x:c r="L143" s="39" t="str">
        <x:v>Mibanco Sullana</x:v>
      </x:c>
      <x:c r="M143" s="41" t="n">
        <x:v>1.58</x:v>
      </x:c>
      <x:c r="N143" s="42" t="n">
        <x:v>46291</x:v>
      </x:c>
      <x:c r="O143" s="43" t="n">
        <x:v>0.4583333333333333</x:v>
      </x:c>
      <x:c r="P143" s="43" t="n">
        <x:v>0.5416666666666666</x:v>
      </x:c>
      <x:c r="Q143" s="39" t="n">
        <x:v>40</x:v>
      </x:c>
      <x:c r="R143" s="44" t="n">
        <x:v>0</x:v>
      </x:c>
      <x:c r="S143" s="39" t="str">
        <x:v>No aplica</x:v>
      </x:c>
      <x:c r="T143" s="45" t="n">
        <x:v>0</x:v>
      </x:c>
      <x:c r="U143" s="39" t="n">
        <x:v>15</x:v>
      </x:c>
      <x:c r="V143" s="44" t="n">
        <x:v>1600</x:v>
      </x:c>
      <x:c r="W143" s="39" t="str">
        <x:v>Sí</x:v>
      </x:c>
      <x:c r="X143" s="42" t="n">
        <x:v>46294</x:v>
      </x:c>
      <x:c r="Y143" s="39" t="str">
        <x:v>Vigente</x:v>
      </x:c>
      <x:c r="Z143" s="39" t="n">
        <x:v>3</x:v>
      </x:c>
      <x:c r="AA143" s="39" t="str">
        <x:v>No responde</x:v>
      </x:c>
      <x:c r="AB143" s="39" t="str">
        <x:v>No</x:v>
      </x:c>
      <x:c r="AC143" s="39" t="str">
        <x:v>No</x:v>
      </x:c>
      <x:c r="AD143" s="46" t="n">
        <x:f>IF(C143="COMERCIAL",IF(AC143="Sí",40,0)+IF(D143="Recurrente",15,0)+IF(S143="Alto",25,IF(S143="Medio",12,0))+IF(R143&gt;=30000,20,IF(R143&gt;=10000,12,IF(R143&gt;=5000,6,0)))+IF(N143&lt;=Metadatos!$B$13+1,25,0)+IF(AB143="Sí",15,0)+IF(AA143="No responde",-10,0),IF(Y143="Incumplido",40,0)+IF(AND(W143="Sí",X143=Metadatos!$B$13),35,0)+IF(V143&gt;=20000,25,IF(V143&gt;=10000,18,IF(V143&gt;=5000,10,0)))+IF(U143&gt;=15,25,IF(U143&gt;=6,20,IF(U143&gt;=3,10,0)))+IF(Z143&gt;=3,20,IF(Z143&gt;=2,10,0))+IF(AA143="Respondió",-10,0)+IF(AND(Y143="Vigente",X143&gt;Metadatos!$B$13),-10,0))</x:f>
        <x:v>35</x:v>
      </x:c>
      <x:c r="AE143" s="39" t="str">
        <x:f>IF(AD143&gt;=70,"P1",IF(AD143&gt;=50,"P2",IF(AD143&gt;=30,"P3","P4")))</x:f>
        <x:v>P3</x:v>
      </x:c>
      <x:c r="AF143" s="39" t="str">
        <x:v>Varios intentos sin respuesta</x:v>
      </x:c>
      <x:c r="AG143" s="39" t="str">
        <x:v>Pendiente</x:v>
      </x:c>
      <x:c r="AH143" s="39" t="str">
        <x:v>https://www.google.com/maps?q=-4.877591,-80.690356</x:v>
      </x:c>
      <x:c r="AI143" s="39" t="str">
        <x:v>SINTÉTICO</x:v>
      </x:c>
    </x:row>
    <x:row r="144">
      <x:c r="A144" s="39" t="str">
        <x:v>CLI-143</x:v>
      </x:c>
      <x:c r="B144" s="39" t="str">
        <x:v>Cliente 143</x:v>
      </x:c>
      <x:c r="C144" s="39" t="str">
        <x:v>COMERCIAL</x:v>
      </x:c>
      <x:c r="D144" s="39" t="str">
        <x:v>Nuevo</x:v>
      </x:c>
      <x:c r="E144" s="39" t="str">
        <x:v>Crédito para negocio</x:v>
      </x:c>
      <x:c r="F144" s="39" t="str">
        <x:v>Negociación</x:v>
      </x:c>
      <x:c r="G144" s="40" t="n">
        <x:v>-4.909762</x:v>
      </x:c>
      <x:c r="H144" s="40" t="n">
        <x:v>-80.663941</x:v>
      </x:c>
      <x:c r="I144" s="39" t="str">
        <x:v>Sullana</x:v>
      </x:c>
      <x:c r="J144" s="39" t="str">
        <x:v>Sullana</x:v>
      </x:c>
      <x:c r="K144" s="39" t="str">
        <x:v>AG04</x:v>
      </x:c>
      <x:c r="L144" s="39" t="str">
        <x:v>Mibanco Sullana</x:v>
      </x:c>
      <x:c r="M144" s="41" t="n">
        <x:v>3.38</x:v>
      </x:c>
      <x:c r="N144" s="42" t="n">
        <x:v>46293</x:v>
      </x:c>
      <x:c r="O144" s="43" t="n">
        <x:v>0.4791666666666667</x:v>
      </x:c>
      <x:c r="P144" s="43" t="n">
        <x:v>0.5416666666666666</x:v>
      </x:c>
      <x:c r="Q144" s="39" t="n">
        <x:v>50</x:v>
      </x:c>
      <x:c r="R144" s="44" t="n">
        <x:v>32400</x:v>
      </x:c>
      <x:c r="S144" s="39" t="str">
        <x:v>Alto</x:v>
      </x:c>
      <x:c r="T144" s="45" t="n">
        <x:v>0.65</x:v>
      </x:c>
      <x:c r="U144" s="39" t="n">
        <x:v>0</x:v>
      </x:c>
      <x:c r="V144" s="44" t="n">
        <x:v>0</x:v>
      </x:c>
      <x:c r="W144" s="39" t="str">
        <x:v>No</x:v>
      </x:c>
      <x:c r="X144" s="42"/>
      <x:c r="Y144" s="39" t="str">
        <x:v>No aplica</x:v>
      </x:c>
      <x:c r="Z144" s="39" t="n">
        <x:v>0</x:v>
      </x:c>
      <x:c r="AA144" s="39" t="str">
        <x:v>Respondió</x:v>
      </x:c>
      <x:c r="AB144" s="39" t="str">
        <x:v>Sí</x:v>
      </x:c>
      <x:c r="AC144" s="39" t="str">
        <x:v>No</x:v>
      </x:c>
      <x:c r="AD144" s="46" t="n">
        <x:f>IF(C144="COMERCIAL",IF(AC144="Sí",40,0)+IF(D144="Recurrente",15,0)+IF(S144="Alto",25,IF(S144="Medio",12,0))+IF(R144&gt;=30000,20,IF(R144&gt;=10000,12,IF(R144&gt;=5000,6,0)))+IF(N144&lt;=Metadatos!$B$13+1,25,0)+IF(AB144="Sí",15,0)+IF(AA144="No responde",-10,0),IF(Y144="Incumplido",40,0)+IF(AND(W144="Sí",X144=Metadatos!$B$13),35,0)+IF(V144&gt;=20000,25,IF(V144&gt;=10000,18,IF(V144&gt;=5000,10,0)))+IF(U144&gt;=15,25,IF(U144&gt;=6,20,IF(U144&gt;=3,10,0)))+IF(Z144&gt;=3,20,IF(Z144&gt;=2,10,0))+IF(AA144="Respondió",-10,0)+IF(AND(Y144="Vigente",X144&gt;Metadatos!$B$13),-10,0))</x:f>
        <x:v>60</x:v>
      </x:c>
      <x:c r="AE144" s="39" t="str">
        <x:f>IF(AD144&gt;=70,"P1",IF(AD144&gt;=50,"P2",IF(AD144&gt;=30,"P3","P4")))</x:f>
        <x:v>P2</x:v>
      </x:c>
      <x:c r="AF144" s="39" t="str">
        <x:v>Interés alto y monto comercial alto</x:v>
      </x:c>
      <x:c r="AG144" s="39" t="str">
        <x:v>Pendiente</x:v>
      </x:c>
      <x:c r="AH144" s="39" t="str">
        <x:v>https://www.google.com/maps?q=-4.909762,-80.663941</x:v>
      </x:c>
      <x:c r="AI144" s="39" t="str">
        <x:v>SINTÉTICO</x:v>
      </x:c>
    </x:row>
    <x:row r="145">
      <x:c r="A145" s="39" t="str">
        <x:v>CLI-144</x:v>
      </x:c>
      <x:c r="B145" s="39" t="str">
        <x:v>Cliente 144</x:v>
      </x:c>
      <x:c r="C145" s="39" t="str">
        <x:v>COBRANZA</x:v>
      </x:c>
      <x:c r="D145" s="39" t="str">
        <x:v>Deudor</x:v>
      </x:c>
      <x:c r="E145" s="39" t="str">
        <x:v>Cobranza de crédito</x:v>
      </x:c>
      <x:c r="F145" s="39" t="str">
        <x:v>Recuperación</x:v>
      </x:c>
      <x:c r="G145" s="40" t="n">
        <x:v>-4.857933</x:v>
      </x:c>
      <x:c r="H145" s="40" t="n">
        <x:v>-80.674042</x:v>
      </x:c>
      <x:c r="I145" s="39" t="str">
        <x:v>Sullana</x:v>
      </x:c>
      <x:c r="J145" s="39" t="str">
        <x:v>Sullana</x:v>
      </x:c>
      <x:c r="K145" s="39" t="str">
        <x:v>AG04</x:v>
      </x:c>
      <x:c r="L145" s="39" t="str">
        <x:v>Mibanco Sullana</x:v>
      </x:c>
      <x:c r="M145" s="41" t="n">
        <x:v>4.07</x:v>
      </x:c>
      <x:c r="N145" s="42" t="n">
        <x:v>46294</x:v>
      </x:c>
      <x:c r="O145" s="43" t="n">
        <x:v>0.5625</x:v>
      </x:c>
      <x:c r="P145" s="43" t="n">
        <x:v>0.625</x:v>
      </x:c>
      <x:c r="Q145" s="39" t="n">
        <x:v>30</x:v>
      </x:c>
      <x:c r="R145" s="44" t="n">
        <x:v>0</x:v>
      </x:c>
      <x:c r="S145" s="39" t="str">
        <x:v>No aplica</x:v>
      </x:c>
      <x:c r="T145" s="45" t="n">
        <x:v>0</x:v>
      </x:c>
      <x:c r="U145" s="39" t="n">
        <x:v>5</x:v>
      </x:c>
      <x:c r="V145" s="44" t="n">
        <x:v>27200</x:v>
      </x:c>
      <x:c r="W145" s="39" t="str">
        <x:v>Sí</x:v>
      </x:c>
      <x:c r="X145" s="42" t="n">
        <x:v>46294</x:v>
      </x:c>
      <x:c r="Y145" s="39" t="str">
        <x:v>Vigente</x:v>
      </x:c>
      <x:c r="Z145" s="39" t="n">
        <x:v>2</x:v>
      </x:c>
      <x:c r="AA145" s="39" t="str">
        <x:v>Respondió</x:v>
      </x:c>
      <x:c r="AB145" s="39" t="str">
        <x:v>No</x:v>
      </x:c>
      <x:c r="AC145" s="39" t="str">
        <x:v>No</x:v>
      </x:c>
      <x:c r="AD145" s="46" t="n">
        <x:f>IF(C145="COMERCIAL",IF(AC145="Sí",40,0)+IF(D145="Recurrente",15,0)+IF(S145="Alto",25,IF(S145="Medio",12,0))+IF(R145&gt;=30000,20,IF(R145&gt;=10000,12,IF(R145&gt;=5000,6,0)))+IF(N145&lt;=Metadatos!$B$13+1,25,0)+IF(AB145="Sí",15,0)+IF(AA145="No responde",-10,0),IF(Y145="Incumplido",40,0)+IF(AND(W145="Sí",X145=Metadatos!$B$13),35,0)+IF(V145&gt;=20000,25,IF(V145&gt;=10000,18,IF(V145&gt;=5000,10,0)))+IF(U145&gt;=15,25,IF(U145&gt;=6,20,IF(U145&gt;=3,10,0)))+IF(Z145&gt;=3,20,IF(Z145&gt;=2,10,0))+IF(AA145="Respondió",-10,0)+IF(AND(Y145="Vigente",X145&gt;Metadatos!$B$13),-10,0))</x:f>
        <x:v>25</x:v>
      </x:c>
      <x:c r="AE145" s="39" t="str">
        <x:f>IF(AD145&gt;=70,"P1",IF(AD145&gt;=50,"P2",IF(AD145&gt;=30,"P3","P4")))</x:f>
        <x:v>P4</x:v>
      </x:c>
      <x:c r="AF145" s="39" t="str">
        <x:v>Mora reciente con seguimiento programable</x:v>
      </x:c>
      <x:c r="AG145" s="39" t="str">
        <x:v>Pendiente</x:v>
      </x:c>
      <x:c r="AH145" s="39" t="str">
        <x:v>https://www.google.com/maps?q=-4.857933,-80.674042</x:v>
      </x:c>
      <x:c r="AI145" s="39" t="str">
        <x:v>SINTÉTICO</x:v>
      </x:c>
    </x:row>
    <x:row r="146">
      <x:c r="A146" s="39" t="str">
        <x:v>CLI-145</x:v>
      </x:c>
      <x:c r="B146" s="39" t="str">
        <x:v>Cliente 145</x:v>
      </x:c>
      <x:c r="C146" s="39" t="str">
        <x:v>COMERCIAL</x:v>
      </x:c>
      <x:c r="D146" s="39" t="str">
        <x:v>Recurrente</x:v>
      </x:c>
      <x:c r="E146" s="39" t="str">
        <x:v>Crédito para negocio</x:v>
      </x:c>
      <x:c r="F146" s="39" t="str">
        <x:v>Contactado</x:v>
      </x:c>
      <x:c r="G146" s="40" t="n">
        <x:v>-4.915334</x:v>
      </x:c>
      <x:c r="H146" s="40" t="n">
        <x:v>-80.675712</x:v>
      </x:c>
      <x:c r="I146" s="39" t="str">
        <x:v>Sullana</x:v>
      </x:c>
      <x:c r="J146" s="39" t="str">
        <x:v>Sullana</x:v>
      </x:c>
      <x:c r="K146" s="39" t="str">
        <x:v>AG04</x:v>
      </x:c>
      <x:c r="L146" s="39" t="str">
        <x:v>Mibanco Sullana</x:v>
      </x:c>
      <x:c r="M146" s="41" t="n">
        <x:v>2.99</x:v>
      </x:c>
      <x:c r="N146" s="42" t="n">
        <x:v>46292</x:v>
      </x:c>
      <x:c r="O146" s="43" t="n">
        <x:v>0.4375</x:v>
      </x:c>
      <x:c r="P146" s="43" t="n">
        <x:v>0.4791666666666667</x:v>
      </x:c>
      <x:c r="Q146" s="39" t="n">
        <x:v>25</x:v>
      </x:c>
      <x:c r="R146" s="44" t="n">
        <x:v>7100</x:v>
      </x:c>
      <x:c r="S146" s="39" t="str">
        <x:v>Medio</x:v>
      </x:c>
      <x:c r="T146" s="45" t="n">
        <x:v>0.35</x:v>
      </x:c>
      <x:c r="U146" s="39" t="n">
        <x:v>0</x:v>
      </x:c>
      <x:c r="V146" s="44" t="n">
        <x:v>0</x:v>
      </x:c>
      <x:c r="W146" s="39" t="str">
        <x:v>No</x:v>
      </x:c>
      <x:c r="X146" s="42"/>
      <x:c r="Y146" s="39" t="str">
        <x:v>No aplica</x:v>
      </x:c>
      <x:c r="Z146" s="39" t="n">
        <x:v>0</x:v>
      </x:c>
      <x:c r="AA146" s="39" t="str">
        <x:v>Respondió</x:v>
      </x:c>
      <x:c r="AB146" s="39" t="str">
        <x:v>Sí</x:v>
      </x:c>
      <x:c r="AC146" s="39" t="str">
        <x:v>No</x:v>
      </x:c>
      <x:c r="AD146" s="46" t="n">
        <x:f>IF(C146="COMERCIAL",IF(AC146="Sí",40,0)+IF(D146="Recurrente",15,0)+IF(S146="Alto",25,IF(S146="Medio",12,0))+IF(R146&gt;=30000,20,IF(R146&gt;=10000,12,IF(R146&gt;=5000,6,0)))+IF(N146&lt;=Metadatos!$B$13+1,25,0)+IF(AB146="Sí",15,0)+IF(AA146="No responde",-10,0),IF(Y146="Incumplido",40,0)+IF(AND(W146="Sí",X146=Metadatos!$B$13),35,0)+IF(V146&gt;=20000,25,IF(V146&gt;=10000,18,IF(V146&gt;=5000,10,0)))+IF(U146&gt;=15,25,IF(U146&gt;=6,20,IF(U146&gt;=3,10,0)))+IF(Z146&gt;=3,20,IF(Z146&gt;=2,10,0))+IF(AA146="Respondió",-10,0)+IF(AND(Y146="Vigente",X146&gt;Metadatos!$B$13),-10,0))</x:f>
        <x:v>73</x:v>
      </x:c>
      <x:c r="AE146" s="39" t="str">
        <x:f>IF(AD146&gt;=70,"P1",IF(AD146&gt;=50,"P2",IF(AD146&gt;=30,"P3","P4")))</x:f>
        <x:v>P1</x:v>
      </x:c>
      <x:c r="AF146" s="39" t="str">
        <x:v>Cliente recurrente con oportunidad activa</x:v>
      </x:c>
      <x:c r="AG146" s="39" t="str">
        <x:v>Pendiente</x:v>
      </x:c>
      <x:c r="AH146" s="39" t="str">
        <x:v>https://www.google.com/maps?q=-4.915334,-80.675712</x:v>
      </x:c>
      <x:c r="AI146" s="39" t="str">
        <x:v>SINTÉTICO</x:v>
      </x:c>
    </x:row>
    <x:row r="147">
      <x:c r="A147" s="39" t="str">
        <x:v>CLI-146</x:v>
      </x:c>
      <x:c r="B147" s="39" t="str">
        <x:v>Cliente 146</x:v>
      </x:c>
      <x:c r="C147" s="39" t="str">
        <x:v>COBRANZA</x:v>
      </x:c>
      <x:c r="D147" s="39" t="str">
        <x:v>Deudor</x:v>
      </x:c>
      <x:c r="E147" s="39" t="str">
        <x:v>Cobranza de crédito</x:v>
      </x:c>
      <x:c r="F147" s="39" t="str">
        <x:v>Recuperación</x:v>
      </x:c>
      <x:c r="G147" s="40" t="n">
        <x:v>-4.919577</x:v>
      </x:c>
      <x:c r="H147" s="40" t="n">
        <x:v>-80.708737</x:v>
      </x:c>
      <x:c r="I147" s="39" t="str">
        <x:v>Sullana</x:v>
      </x:c>
      <x:c r="J147" s="39" t="str">
        <x:v>Sullana</x:v>
      </x:c>
      <x:c r="K147" s="39" t="str">
        <x:v>AG04</x:v>
      </x:c>
      <x:c r="L147" s="39" t="str">
        <x:v>Mibanco Sullana</x:v>
      </x:c>
      <x:c r="M147" s="41" t="n">
        <x:v>3.84</x:v>
      </x:c>
      <x:c r="N147" s="42" t="n">
        <x:v>46291</x:v>
      </x:c>
      <x:c r="O147" s="43" t="n">
        <x:v>0.5208333333333334</x:v>
      </x:c>
      <x:c r="P147" s="43" t="n">
        <x:v>0.6041666666666666</x:v>
      </x:c>
      <x:c r="Q147" s="39" t="n">
        <x:v>35</x:v>
      </x:c>
      <x:c r="R147" s="44" t="n">
        <x:v>0</x:v>
      </x:c>
      <x:c r="S147" s="39" t="str">
        <x:v>No aplica</x:v>
      </x:c>
      <x:c r="T147" s="45" t="n">
        <x:v>0</x:v>
      </x:c>
      <x:c r="U147" s="39" t="n">
        <x:v>22</x:v>
      </x:c>
      <x:c r="V147" s="44" t="n">
        <x:v>29500</x:v>
      </x:c>
      <x:c r="W147" s="39" t="str">
        <x:v>No</x:v>
      </x:c>
      <x:c r="X147" s="42"/>
      <x:c r="Y147" s="39" t="str">
        <x:v>Sin compromiso</x:v>
      </x:c>
      <x:c r="Z147" s="39" t="n">
        <x:v>4</x:v>
      </x:c>
      <x:c r="AA147" s="39" t="str">
        <x:v>No responde</x:v>
      </x:c>
      <x:c r="AB147" s="39" t="str">
        <x:v>No</x:v>
      </x:c>
      <x:c r="AC147" s="39" t="str">
        <x:v>No</x:v>
      </x:c>
      <x:c r="AD147" s="46" t="n">
        <x:f>IF(C147="COMERCIAL",IF(AC147="Sí",40,0)+IF(D147="Recurrente",15,0)+IF(S147="Alto",25,IF(S147="Medio",12,0))+IF(R147&gt;=30000,20,IF(R147&gt;=10000,12,IF(R147&gt;=5000,6,0)))+IF(N147&lt;=Metadatos!$B$13+1,25,0)+IF(AB147="Sí",15,0)+IF(AA147="No responde",-10,0),IF(Y147="Incumplido",40,0)+IF(AND(W147="Sí",X147=Metadatos!$B$13),35,0)+IF(V147&gt;=20000,25,IF(V147&gt;=10000,18,IF(V147&gt;=5000,10,0)))+IF(U147&gt;=15,25,IF(U147&gt;=6,20,IF(U147&gt;=3,10,0)))+IF(Z147&gt;=3,20,IF(Z147&gt;=2,10,0))+IF(AA147="Respondió",-10,0)+IF(AND(Y147="Vigente",X147&gt;Metadatos!$B$13),-10,0))</x:f>
        <x:v>70</x:v>
      </x:c>
      <x:c r="AE147" s="39" t="str">
        <x:f>IF(AD147&gt;=70,"P1",IF(AD147&gt;=50,"P2",IF(AD147&gt;=30,"P3","P4")))</x:f>
        <x:v>P1</x:v>
      </x:c>
      <x:c r="AF147" s="39" t="str">
        <x:v>Mora elevada y saldo alto</x:v>
      </x:c>
      <x:c r="AG147" s="39" t="str">
        <x:v>Pendiente</x:v>
      </x:c>
      <x:c r="AH147" s="39" t="str">
        <x:v>https://www.google.com/maps?q=-4.919577,-80.708737</x:v>
      </x:c>
      <x:c r="AI147" s="39" t="str">
        <x:v>SINTÉTICO</x:v>
      </x:c>
    </x:row>
    <x:row r="148">
      <x:c r="A148" s="39" t="str">
        <x:v>CLI-147</x:v>
      </x:c>
      <x:c r="B148" s="39" t="str">
        <x:v>Cliente 147</x:v>
      </x:c>
      <x:c r="C148" s="39" t="str">
        <x:v>COMERCIAL</x:v>
      </x:c>
      <x:c r="D148" s="39" t="str">
        <x:v>Nuevo</x:v>
      </x:c>
      <x:c r="E148" s="39" t="str">
        <x:v>Seguro</x:v>
      </x:c>
      <x:c r="F148" s="39" t="str">
        <x:v>Evaluación</x:v>
      </x:c>
      <x:c r="G148" s="40" t="n">
        <x:v>-4.869875</x:v>
      </x:c>
      <x:c r="H148" s="40" t="n">
        <x:v>-80.687465</x:v>
      </x:c>
      <x:c r="I148" s="39" t="str">
        <x:v>Sullana</x:v>
      </x:c>
      <x:c r="J148" s="39" t="str">
        <x:v>Sullana</x:v>
      </x:c>
      <x:c r="K148" s="39" t="str">
        <x:v>AG04</x:v>
      </x:c>
      <x:c r="L148" s="39" t="str">
        <x:v>Mibanco Sullana</x:v>
      </x:c>
      <x:c r="M148" s="41" t="n">
        <x:v>2.42</x:v>
      </x:c>
      <x:c r="N148" s="42" t="n">
        <x:v>46292</x:v>
      </x:c>
      <x:c r="O148" s="43" t="n">
        <x:v>0.4166666666666667</x:v>
      </x:c>
      <x:c r="P148" s="43" t="n">
        <x:v>0.5</x:v>
      </x:c>
      <x:c r="Q148" s="39" t="n">
        <x:v>40</x:v>
      </x:c>
      <x:c r="R148" s="44" t="n">
        <x:v>40000</x:v>
      </x:c>
      <x:c r="S148" s="39" t="str">
        <x:v>Alto</x:v>
      </x:c>
      <x:c r="T148" s="45" t="n">
        <x:v>0.88</x:v>
      </x:c>
      <x:c r="U148" s="39" t="n">
        <x:v>0</x:v>
      </x:c>
      <x:c r="V148" s="44" t="n">
        <x:v>0</x:v>
      </x:c>
      <x:c r="W148" s="39" t="str">
        <x:v>No</x:v>
      </x:c>
      <x:c r="X148" s="42"/>
      <x:c r="Y148" s="39" t="str">
        <x:v>No aplica</x:v>
      </x:c>
      <x:c r="Z148" s="39" t="n">
        <x:v>0</x:v>
      </x:c>
      <x:c r="AA148" s="39" t="str">
        <x:v>Respondió</x:v>
      </x:c>
      <x:c r="AB148" s="39" t="str">
        <x:v>Sí</x:v>
      </x:c>
      <x:c r="AC148" s="39" t="str">
        <x:v>No</x:v>
      </x:c>
      <x:c r="AD148" s="46" t="n">
        <x:f>IF(C148="COMERCIAL",IF(AC148="Sí",40,0)+IF(D148="Recurrente",15,0)+IF(S148="Alto",25,IF(S148="Medio",12,0))+IF(R148&gt;=30000,20,IF(R148&gt;=10000,12,IF(R148&gt;=5000,6,0)))+IF(N148&lt;=Metadatos!$B$13+1,25,0)+IF(AB148="Sí",15,0)+IF(AA148="No responde",-10,0),IF(Y148="Incumplido",40,0)+IF(AND(W148="Sí",X148=Metadatos!$B$13),35,0)+IF(V148&gt;=20000,25,IF(V148&gt;=10000,18,IF(V148&gt;=5000,10,0)))+IF(U148&gt;=15,25,IF(U148&gt;=6,20,IF(U148&gt;=3,10,0)))+IF(Z148&gt;=3,20,IF(Z148&gt;=2,10,0))+IF(AA148="Respondió",-10,0)+IF(AND(Y148="Vigente",X148&gt;Metadatos!$B$13),-10,0))</x:f>
        <x:v>85</x:v>
      </x:c>
      <x:c r="AE148" s="39" t="str">
        <x:f>IF(AD148&gt;=70,"P1",IF(AD148&gt;=50,"P2",IF(AD148&gt;=30,"P3","P4")))</x:f>
        <x:v>P1</x:v>
      </x:c>
      <x:c r="AF148" s="39" t="str">
        <x:v>Interés alto y monto comercial alto</x:v>
      </x:c>
      <x:c r="AG148" s="39" t="str">
        <x:v>Programada</x:v>
      </x:c>
      <x:c r="AH148" s="39" t="str">
        <x:v>https://www.google.com/maps?q=-4.869875,-80.687465</x:v>
      </x:c>
      <x:c r="AI148" s="39" t="str">
        <x:v>SINTÉTICO</x:v>
      </x:c>
    </x:row>
    <x:row r="149">
      <x:c r="A149" s="39" t="str">
        <x:v>CLI-148</x:v>
      </x:c>
      <x:c r="B149" s="39" t="str">
        <x:v>Cliente 148</x:v>
      </x:c>
      <x:c r="C149" s="39" t="str">
        <x:v>COBRANZA</x:v>
      </x:c>
      <x:c r="D149" s="39" t="str">
        <x:v>Deudor</x:v>
      </x:c>
      <x:c r="E149" s="39" t="str">
        <x:v>Cobranza de crédito</x:v>
      </x:c>
      <x:c r="F149" s="39" t="str">
        <x:v>Recuperación</x:v>
      </x:c>
      <x:c r="G149" s="40" t="n">
        <x:v>-4.881967</x:v>
      </x:c>
      <x:c r="H149" s="40" t="n">
        <x:v>-80.720035</x:v>
      </x:c>
      <x:c r="I149" s="39" t="str">
        <x:v>Sullana</x:v>
      </x:c>
      <x:c r="J149" s="39" t="str">
        <x:v>Sullana</x:v>
      </x:c>
      <x:c r="K149" s="39" t="str">
        <x:v>AG04</x:v>
      </x:c>
      <x:c r="L149" s="39" t="str">
        <x:v>Mibanco Sullana</x:v>
      </x:c>
      <x:c r="M149" s="41" t="n">
        <x:v>3.67</x:v>
      </x:c>
      <x:c r="N149" s="42" t="n">
        <x:v>46294</x:v>
      </x:c>
      <x:c r="O149" s="43" t="n">
        <x:v>0.3333333333333333</x:v>
      </x:c>
      <x:c r="P149" s="43" t="n">
        <x:v>0.375</x:v>
      </x:c>
      <x:c r="Q149" s="39" t="n">
        <x:v>45</x:v>
      </x:c>
      <x:c r="R149" s="44" t="n">
        <x:v>0</x:v>
      </x:c>
      <x:c r="S149" s="39" t="str">
        <x:v>No aplica</x:v>
      </x:c>
      <x:c r="T149" s="45" t="n">
        <x:v>0</x:v>
      </x:c>
      <x:c r="U149" s="39" t="n">
        <x:v>3</x:v>
      </x:c>
      <x:c r="V149" s="44" t="n">
        <x:v>2000</x:v>
      </x:c>
      <x:c r="W149" s="39" t="str">
        <x:v>No</x:v>
      </x:c>
      <x:c r="X149" s="42"/>
      <x:c r="Y149" s="39" t="str">
        <x:v>Sin compromiso</x:v>
      </x:c>
      <x:c r="Z149" s="39" t="n">
        <x:v>2</x:v>
      </x:c>
      <x:c r="AA149" s="39" t="str">
        <x:v>Respondió</x:v>
      </x:c>
      <x:c r="AB149" s="39" t="str">
        <x:v>No</x:v>
      </x:c>
      <x:c r="AC149" s="39" t="str">
        <x:v>No</x:v>
      </x:c>
      <x:c r="AD149" s="46" t="n">
        <x:f>IF(C149="COMERCIAL",IF(AC149="Sí",40,0)+IF(D149="Recurrente",15,0)+IF(S149="Alto",25,IF(S149="Medio",12,0))+IF(R149&gt;=30000,20,IF(R149&gt;=10000,12,IF(R149&gt;=5000,6,0)))+IF(N149&lt;=Metadatos!$B$13+1,25,0)+IF(AB149="Sí",15,0)+IF(AA149="No responde",-10,0),IF(Y149="Incumplido",40,0)+IF(AND(W149="Sí",X149=Metadatos!$B$13),35,0)+IF(V149&gt;=20000,25,IF(V149&gt;=10000,18,IF(V149&gt;=5000,10,0)))+IF(U149&gt;=15,25,IF(U149&gt;=6,20,IF(U149&gt;=3,10,0)))+IF(Z149&gt;=3,20,IF(Z149&gt;=2,10,0))+IF(AA149="Respondió",-10,0)+IF(AND(Y149="Vigente",X149&gt;Metadatos!$B$13),-10,0))</x:f>
        <x:v>10</x:v>
      </x:c>
      <x:c r="AE149" s="39" t="str">
        <x:f>IF(AD149&gt;=70,"P1",IF(AD149&gt;=50,"P2",IF(AD149&gt;=30,"P3","P4")))</x:f>
        <x:v>P4</x:v>
      </x:c>
      <x:c r="AF149" s="39" t="str">
        <x:v>Mora reciente con seguimiento programable</x:v>
      </x:c>
      <x:c r="AG149" s="39" t="str">
        <x:v>Pendiente</x:v>
      </x:c>
      <x:c r="AH149" s="39" t="str">
        <x:v>https://www.google.com/maps?q=-4.881967,-80.720035</x:v>
      </x:c>
      <x:c r="AI149" s="39" t="str">
        <x:v>SINTÉTICO</x:v>
      </x:c>
    </x:row>
    <x:row r="150">
      <x:c r="A150" s="39" t="str">
        <x:v>CLI-149</x:v>
      </x:c>
      <x:c r="B150" s="39" t="str">
        <x:v>Cliente 149</x:v>
      </x:c>
      <x:c r="C150" s="39" t="str">
        <x:v>COMERCIAL</x:v>
      </x:c>
      <x:c r="D150" s="39" t="str">
        <x:v>Recurrente</x:v>
      </x:c>
      <x:c r="E150" s="39" t="str">
        <x:v>Capital de trabajo</x:v>
      </x:c>
      <x:c r="F150" s="39" t="str">
        <x:v>Evaluación</x:v>
      </x:c>
      <x:c r="G150" s="40" t="n">
        <x:v>-4.859309</x:v>
      </x:c>
      <x:c r="H150" s="40" t="n">
        <x:v>-80.666632</x:v>
      </x:c>
      <x:c r="I150" s="39" t="str">
        <x:v>Sullana</x:v>
      </x:c>
      <x:c r="J150" s="39" t="str">
        <x:v>Sullana</x:v>
      </x:c>
      <x:c r="K150" s="39" t="str">
        <x:v>AG04</x:v>
      </x:c>
      <x:c r="L150" s="39" t="str">
        <x:v>Mibanco Sullana</x:v>
      </x:c>
      <x:c r="M150" s="41" t="n">
        <x:v>4.33</x:v>
      </x:c>
      <x:c r="N150" s="42" t="n">
        <x:v>46291</x:v>
      </x:c>
      <x:c r="O150" s="43" t="n">
        <x:v>0.5</x:v>
      </x:c>
      <x:c r="P150" s="43" t="n">
        <x:v>0.5833333333333334</x:v>
      </x:c>
      <x:c r="Q150" s="39" t="n">
        <x:v>50</x:v>
      </x:c>
      <x:c r="R150" s="44" t="n">
        <x:v>24900</x:v>
      </x:c>
      <x:c r="S150" s="39" t="str">
        <x:v>Alto</x:v>
      </x:c>
      <x:c r="T150" s="45" t="n">
        <x:v>0.76</x:v>
      </x:c>
      <x:c r="U150" s="39" t="n">
        <x:v>0</x:v>
      </x:c>
      <x:c r="V150" s="44" t="n">
        <x:v>0</x:v>
      </x:c>
      <x:c r="W150" s="39" t="str">
        <x:v>No</x:v>
      </x:c>
      <x:c r="X150" s="42"/>
      <x:c r="Y150" s="39" t="str">
        <x:v>No aplica</x:v>
      </x:c>
      <x:c r="Z150" s="39" t="n">
        <x:v>0</x:v>
      </x:c>
      <x:c r="AA150" s="39" t="str">
        <x:v>Respondió</x:v>
      </x:c>
      <x:c r="AB150" s="39" t="str">
        <x:v>Sí</x:v>
      </x:c>
      <x:c r="AC150" s="39" t="str">
        <x:v>Sí</x:v>
      </x:c>
      <x:c r="AD150" s="46" t="n">
        <x:f>IF(C150="COMERCIAL",IF(AC150="Sí",40,0)+IF(D150="Recurrente",15,0)+IF(S150="Alto",25,IF(S150="Medio",12,0))+IF(R150&gt;=30000,20,IF(R150&gt;=10000,12,IF(R150&gt;=5000,6,0)))+IF(N150&lt;=Metadatos!$B$13+1,25,0)+IF(AB150="Sí",15,0)+IF(AA150="No responde",-10,0),IF(Y150="Incumplido",40,0)+IF(AND(W150="Sí",X150=Metadatos!$B$13),35,0)+IF(V150&gt;=20000,25,IF(V150&gt;=10000,18,IF(V150&gt;=5000,10,0)))+IF(U150&gt;=15,25,IF(U150&gt;=6,20,IF(U150&gt;=3,10,0)))+IF(Z150&gt;=3,20,IF(Z150&gt;=2,10,0))+IF(AA150="Respondió",-10,0)+IF(AND(Y150="Vigente",X150&gt;Metadatos!$B$13),-10,0))</x:f>
        <x:v>132</x:v>
      </x:c>
      <x:c r="AE150" s="39" t="str">
        <x:f>IF(AD150&gt;=70,"P1",IF(AD150&gt;=50,"P2",IF(AD150&gt;=30,"P3","P4")))</x:f>
        <x:v>P1</x:v>
      </x:c>
      <x:c r="AF150" s="39" t="str">
        <x:v>Operación prevista hoy y cliente recurrente</x:v>
      </x:c>
      <x:c r="AG150" s="39" t="str">
        <x:v>Pendiente</x:v>
      </x:c>
      <x:c r="AH150" s="39" t="str">
        <x:v>https://www.google.com/maps?q=-4.859309,-80.666632</x:v>
      </x:c>
      <x:c r="AI150" s="39" t="str">
        <x:v>SINTÉTICO</x:v>
      </x:c>
    </x:row>
    <x:row r="151">
      <x:c r="A151" s="39" t="str">
        <x:v>CLI-150</x:v>
      </x:c>
      <x:c r="B151" s="39" t="str">
        <x:v>Cliente 150</x:v>
      </x:c>
      <x:c r="C151" s="39" t="str">
        <x:v>COBRANZA</x:v>
      </x:c>
      <x:c r="D151" s="39" t="str">
        <x:v>Deudor</x:v>
      </x:c>
      <x:c r="E151" s="39" t="str">
        <x:v>Cobranza de crédito</x:v>
      </x:c>
      <x:c r="F151" s="39" t="str">
        <x:v>Recuperación</x:v>
      </x:c>
      <x:c r="G151" s="40" t="n">
        <x:v>-4.846795</x:v>
      </x:c>
      <x:c r="H151" s="40" t="n">
        <x:v>-80.690531</x:v>
      </x:c>
      <x:c r="I151" s="39" t="str">
        <x:v>Sullana</x:v>
      </x:c>
      <x:c r="J151" s="39" t="str">
        <x:v>Sullana</x:v>
      </x:c>
      <x:c r="K151" s="39" t="str">
        <x:v>AG04</x:v>
      </x:c>
      <x:c r="L151" s="39" t="str">
        <x:v>Mibanco Sullana</x:v>
      </x:c>
      <x:c r="M151" s="41" t="n">
        <x:v>5</x:v>
      </x:c>
      <x:c r="N151" s="42" t="n">
        <x:v>46291</x:v>
      </x:c>
      <x:c r="O151" s="43" t="n">
        <x:v>0.5416666666666666</x:v>
      </x:c>
      <x:c r="P151" s="43" t="n">
        <x:v>0.625</x:v>
      </x:c>
      <x:c r="Q151" s="39" t="n">
        <x:v>35</x:v>
      </x:c>
      <x:c r="R151" s="44" t="n">
        <x:v>0</x:v>
      </x:c>
      <x:c r="S151" s="39" t="str">
        <x:v>No aplica</x:v>
      </x:c>
      <x:c r="T151" s="45" t="n">
        <x:v>0</x:v>
      </x:c>
      <x:c r="U151" s="39" t="n">
        <x:v>10</x:v>
      </x:c>
      <x:c r="V151" s="44" t="n">
        <x:v>27800</x:v>
      </x:c>
      <x:c r="W151" s="39" t="str">
        <x:v>Sí</x:v>
      </x:c>
      <x:c r="X151" s="42" t="n">
        <x:v>46291</x:v>
      </x:c>
      <x:c r="Y151" s="39" t="str">
        <x:v>Vigente</x:v>
      </x:c>
      <x:c r="Z151" s="39" t="n">
        <x:v>1</x:v>
      </x:c>
      <x:c r="AA151" s="39" t="str">
        <x:v>Respondió</x:v>
      </x:c>
      <x:c r="AB151" s="39" t="str">
        <x:v>No</x:v>
      </x:c>
      <x:c r="AC151" s="39" t="str">
        <x:v>Sí</x:v>
      </x:c>
      <x:c r="AD151" s="46" t="n">
        <x:f>IF(C151="COMERCIAL",IF(AC151="Sí",40,0)+IF(D151="Recurrente",15,0)+IF(S151="Alto",25,IF(S151="Medio",12,0))+IF(R151&gt;=30000,20,IF(R151&gt;=10000,12,IF(R151&gt;=5000,6,0)))+IF(N151&lt;=Metadatos!$B$13+1,25,0)+IF(AB151="Sí",15,0)+IF(AA151="No responde",-10,0),IF(Y151="Incumplido",40,0)+IF(AND(W151="Sí",X151=Metadatos!$B$13),35,0)+IF(V151&gt;=20000,25,IF(V151&gt;=10000,18,IF(V151&gt;=5000,10,0)))+IF(U151&gt;=15,25,IF(U151&gt;=6,20,IF(U151&gt;=3,10,0)))+IF(Z151&gt;=3,20,IF(Z151&gt;=2,10,0))+IF(AA151="Respondió",-10,0)+IF(AND(Y151="Vigente",X151&gt;Metadatos!$B$13),-10,0))</x:f>
        <x:v>70</x:v>
      </x:c>
      <x:c r="AE151" s="39" t="str">
        <x:f>IF(AD151&gt;=70,"P1",IF(AD151&gt;=50,"P2",IF(AD151&gt;=30,"P3","P4")))</x:f>
        <x:v>P1</x:v>
      </x:c>
      <x:c r="AF151" s="39" t="str">
        <x:v>Compromiso de pago con vencimiento hoy</x:v>
      </x:c>
      <x:c r="AG151" s="39" t="str">
        <x:v>Programada</x:v>
      </x:c>
      <x:c r="AH151" s="39" t="str">
        <x:v>https://www.google.com/maps?q=-4.846795,-80.690531</x:v>
      </x:c>
      <x:c r="AI151" s="39" t="str">
        <x:v>SINTÉTICO</x:v>
      </x:c>
    </x:row>
    <x:row r="152">
      <x:c r="A152" s="39" t="str">
        <x:v>CLI-151</x:v>
      </x:c>
      <x:c r="B152" s="39" t="str">
        <x:v>Cliente 151</x:v>
      </x:c>
      <x:c r="C152" s="39" t="str">
        <x:v>COMERCIAL</x:v>
      </x:c>
      <x:c r="D152" s="39" t="str">
        <x:v>Nuevo</x:v>
      </x:c>
      <x:c r="E152" s="39" t="str">
        <x:v>Capital de trabajo</x:v>
      </x:c>
      <x:c r="F152" s="39" t="str">
        <x:v>Negociación</x:v>
      </x:c>
      <x:c r="G152" s="40" t="n">
        <x:v>-4.88681</x:v>
      </x:c>
      <x:c r="H152" s="40" t="n">
        <x:v>-80.685249</x:v>
      </x:c>
      <x:c r="I152" s="39" t="str">
        <x:v>Sullana</x:v>
      </x:c>
      <x:c r="J152" s="39" t="str">
        <x:v>Sullana</x:v>
      </x:c>
      <x:c r="K152" s="39" t="str">
        <x:v>AG04</x:v>
      </x:c>
      <x:c r="L152" s="39" t="str">
        <x:v>Mibanco Sullana</x:v>
      </x:c>
      <x:c r="M152" s="41" t="n">
        <x:v>0.64</x:v>
      </x:c>
      <x:c r="N152" s="42" t="n">
        <x:v>46293</x:v>
      </x:c>
      <x:c r="O152" s="43" t="n">
        <x:v>0.3958333333333333</x:v>
      </x:c>
      <x:c r="P152" s="43" t="n">
        <x:v>0.4791666666666667</x:v>
      </x:c>
      <x:c r="Q152" s="39" t="n">
        <x:v>30</x:v>
      </x:c>
      <x:c r="R152" s="44" t="n">
        <x:v>47500</x:v>
      </x:c>
      <x:c r="S152" s="39" t="str">
        <x:v>Alto</x:v>
      </x:c>
      <x:c r="T152" s="45" t="n">
        <x:v>0.8</x:v>
      </x:c>
      <x:c r="U152" s="39" t="n">
        <x:v>0</x:v>
      </x:c>
      <x:c r="V152" s="44" t="n">
        <x:v>0</x:v>
      </x:c>
      <x:c r="W152" s="39" t="str">
        <x:v>No</x:v>
      </x:c>
      <x:c r="X152" s="42"/>
      <x:c r="Y152" s="39" t="str">
        <x:v>No aplica</x:v>
      </x:c>
      <x:c r="Z152" s="39" t="n">
        <x:v>0</x:v>
      </x:c>
      <x:c r="AA152" s="39" t="str">
        <x:v>Respondió</x:v>
      </x:c>
      <x:c r="AB152" s="39" t="str">
        <x:v>No</x:v>
      </x:c>
      <x:c r="AC152" s="39" t="str">
        <x:v>No</x:v>
      </x:c>
      <x:c r="AD152" s="46" t="n">
        <x:f>IF(C152="COMERCIAL",IF(AC152="Sí",40,0)+IF(D152="Recurrente",15,0)+IF(S152="Alto",25,IF(S152="Medio",12,0))+IF(R152&gt;=30000,20,IF(R152&gt;=10000,12,IF(R152&gt;=5000,6,0)))+IF(N152&lt;=Metadatos!$B$13+1,25,0)+IF(AB152="Sí",15,0)+IF(AA152="No responde",-10,0),IF(Y152="Incumplido",40,0)+IF(AND(W152="Sí",X152=Metadatos!$B$13),35,0)+IF(V152&gt;=20000,25,IF(V152&gt;=10000,18,IF(V152&gt;=5000,10,0)))+IF(U152&gt;=15,25,IF(U152&gt;=6,20,IF(U152&gt;=3,10,0)))+IF(Z152&gt;=3,20,IF(Z152&gt;=2,10,0))+IF(AA152="Respondió",-10,0)+IF(AND(Y152="Vigente",X152&gt;Metadatos!$B$13),-10,0))</x:f>
        <x:v>45</x:v>
      </x:c>
      <x:c r="AE152" s="39" t="str">
        <x:f>IF(AD152&gt;=70,"P1",IF(AD152&gt;=50,"P2",IF(AD152&gt;=30,"P3","P4")))</x:f>
        <x:v>P3</x:v>
      </x:c>
      <x:c r="AF152" s="39" t="str">
        <x:v>Interés alto y monto comercial alto</x:v>
      </x:c>
      <x:c r="AG152" s="39" t="str">
        <x:v>Pendiente</x:v>
      </x:c>
      <x:c r="AH152" s="39" t="str">
        <x:v>https://www.google.com/maps?q=-4.886810,-80.685249</x:v>
      </x:c>
      <x:c r="AI152" s="39" t="str">
        <x:v>SINTÉTICO</x:v>
      </x:c>
    </x:row>
    <x:row r="153">
      <x:c r="A153" s="39" t="str">
        <x:v>CLI-152</x:v>
      </x:c>
      <x:c r="B153" s="39" t="str">
        <x:v>Cliente 152</x:v>
      </x:c>
      <x:c r="C153" s="39" t="str">
        <x:v>COBRANZA</x:v>
      </x:c>
      <x:c r="D153" s="39" t="str">
        <x:v>Deudor</x:v>
      </x:c>
      <x:c r="E153" s="39" t="str">
        <x:v>Cobranza de crédito</x:v>
      </x:c>
      <x:c r="F153" s="39" t="str">
        <x:v>Recuperación</x:v>
      </x:c>
      <x:c r="G153" s="40" t="n">
        <x:v>-4.907592</x:v>
      </x:c>
      <x:c r="H153" s="40" t="n">
        <x:v>-80.713751</x:v>
      </x:c>
      <x:c r="I153" s="39" t="str">
        <x:v>Sullana</x:v>
      </x:c>
      <x:c r="J153" s="39" t="str">
        <x:v>Sullana</x:v>
      </x:c>
      <x:c r="K153" s="39" t="str">
        <x:v>AG04</x:v>
      </x:c>
      <x:c r="L153" s="39" t="str">
        <x:v>Mibanco Sullana</x:v>
      </x:c>
      <x:c r="M153" s="41" t="n">
        <x:v>3.32</x:v>
      </x:c>
      <x:c r="N153" s="42" t="n">
        <x:v>46293</x:v>
      </x:c>
      <x:c r="O153" s="43" t="n">
        <x:v>0.5</x:v>
      </x:c>
      <x:c r="P153" s="43" t="n">
        <x:v>0.5833333333333334</x:v>
      </x:c>
      <x:c r="Q153" s="39" t="n">
        <x:v>25</x:v>
      </x:c>
      <x:c r="R153" s="44" t="n">
        <x:v>0</x:v>
      </x:c>
      <x:c r="S153" s="39" t="str">
        <x:v>No aplica</x:v>
      </x:c>
      <x:c r="T153" s="45" t="n">
        <x:v>0</x:v>
      </x:c>
      <x:c r="U153" s="39" t="n">
        <x:v>12</x:v>
      </x:c>
      <x:c r="V153" s="44" t="n">
        <x:v>17800</x:v>
      </x:c>
      <x:c r="W153" s="39" t="str">
        <x:v>Sí</x:v>
      </x:c>
      <x:c r="X153" s="42" t="n">
        <x:v>46293</x:v>
      </x:c>
      <x:c r="Y153" s="39" t="str">
        <x:v>Vigente</x:v>
      </x:c>
      <x:c r="Z153" s="39" t="n">
        <x:v>2</x:v>
      </x:c>
      <x:c r="AA153" s="39" t="str">
        <x:v>Respondió</x:v>
      </x:c>
      <x:c r="AB153" s="39" t="str">
        <x:v>No</x:v>
      </x:c>
      <x:c r="AC153" s="39" t="str">
        <x:v>No</x:v>
      </x:c>
      <x:c r="AD153" s="46" t="n">
        <x:f>IF(C153="COMERCIAL",IF(AC153="Sí",40,0)+IF(D153="Recurrente",15,0)+IF(S153="Alto",25,IF(S153="Medio",12,0))+IF(R153&gt;=30000,20,IF(R153&gt;=10000,12,IF(R153&gt;=5000,6,0)))+IF(N153&lt;=Metadatos!$B$13+1,25,0)+IF(AB153="Sí",15,0)+IF(AA153="No responde",-10,0),IF(Y153="Incumplido",40,0)+IF(AND(W153="Sí",X153=Metadatos!$B$13),35,0)+IF(V153&gt;=20000,25,IF(V153&gt;=10000,18,IF(V153&gt;=5000,10,0)))+IF(U153&gt;=15,25,IF(U153&gt;=6,20,IF(U153&gt;=3,10,0)))+IF(Z153&gt;=3,20,IF(Z153&gt;=2,10,0))+IF(AA153="Respondió",-10,0)+IF(AND(Y153="Vigente",X153&gt;Metadatos!$B$13),-10,0))</x:f>
        <x:v>28</x:v>
      </x:c>
      <x:c r="AE153" s="39" t="str">
        <x:f>IF(AD153&gt;=70,"P1",IF(AD153&gt;=50,"P2",IF(AD153&gt;=30,"P3","P4")))</x:f>
        <x:v>P4</x:v>
      </x:c>
      <x:c r="AF153" s="39" t="str">
        <x:v>Seguimiento por días de mora</x:v>
      </x:c>
      <x:c r="AG153" s="39" t="str">
        <x:v>Pendiente</x:v>
      </x:c>
      <x:c r="AH153" s="39" t="str">
        <x:v>https://www.google.com/maps?q=-4.907592,-80.713751</x:v>
      </x:c>
      <x:c r="AI153" s="39" t="str">
        <x:v>SINTÉTICO</x:v>
      </x:c>
    </x:row>
    <x:row r="154">
      <x:c r="A154" s="39" t="str">
        <x:v>CLI-153</x:v>
      </x:c>
      <x:c r="B154" s="39" t="str">
        <x:v>Cliente 153</x:v>
      </x:c>
      <x:c r="C154" s="39" t="str">
        <x:v>COMERCIAL</x:v>
      </x:c>
      <x:c r="D154" s="39" t="str">
        <x:v>Recurrente</x:v>
      </x:c>
      <x:c r="E154" s="39" t="str">
        <x:v>Ahorro</x:v>
      </x:c>
      <x:c r="F154" s="39" t="str">
        <x:v>Prospecto</x:v>
      </x:c>
      <x:c r="G154" s="40" t="n">
        <x:v>-4.927957</x:v>
      </x:c>
      <x:c r="H154" s="40" t="n">
        <x:v>-80.67475</x:v>
      </x:c>
      <x:c r="I154" s="39" t="str">
        <x:v>Sullana</x:v>
      </x:c>
      <x:c r="J154" s="39" t="str">
        <x:v>Sullana</x:v>
      </x:c>
      <x:c r="K154" s="39" t="str">
        <x:v>AG04</x:v>
      </x:c>
      <x:c r="L154" s="39" t="str">
        <x:v>Mibanco Sullana</x:v>
      </x:c>
      <x:c r="M154" s="41" t="n">
        <x:v>4.32</x:v>
      </x:c>
      <x:c r="N154" s="42" t="n">
        <x:v>46294</x:v>
      </x:c>
      <x:c r="O154" s="43" t="n">
        <x:v>0.3541666666666667</x:v>
      </x:c>
      <x:c r="P154" s="43" t="n">
        <x:v>0.4375</x:v>
      </x:c>
      <x:c r="Q154" s="39" t="n">
        <x:v>35</x:v>
      </x:c>
      <x:c r="R154" s="44" t="n">
        <x:v>42900</x:v>
      </x:c>
      <x:c r="S154" s="39" t="str">
        <x:v>Bajo</x:v>
      </x:c>
      <x:c r="T154" s="45" t="n">
        <x:v>0.24</x:v>
      </x:c>
      <x:c r="U154" s="39" t="n">
        <x:v>0</x:v>
      </x:c>
      <x:c r="V154" s="44" t="n">
        <x:v>0</x:v>
      </x:c>
      <x:c r="W154" s="39" t="str">
        <x:v>No</x:v>
      </x:c>
      <x:c r="X154" s="42"/>
      <x:c r="Y154" s="39" t="str">
        <x:v>No aplica</x:v>
      </x:c>
      <x:c r="Z154" s="39" t="n">
        <x:v>0</x:v>
      </x:c>
      <x:c r="AA154" s="39" t="str">
        <x:v>Respondió</x:v>
      </x:c>
      <x:c r="AB154" s="39" t="str">
        <x:v>No</x:v>
      </x:c>
      <x:c r="AC154" s="39" t="str">
        <x:v>No</x:v>
      </x:c>
      <x:c r="AD154" s="46" t="n">
        <x:f>IF(C154="COMERCIAL",IF(AC154="Sí",40,0)+IF(D154="Recurrente",15,0)+IF(S154="Alto",25,IF(S154="Medio",12,0))+IF(R154&gt;=30000,20,IF(R154&gt;=10000,12,IF(R154&gt;=5000,6,0)))+IF(N154&lt;=Metadatos!$B$13+1,25,0)+IF(AB154="Sí",15,0)+IF(AA154="No responde",-10,0),IF(Y154="Incumplido",40,0)+IF(AND(W154="Sí",X154=Metadatos!$B$13),35,0)+IF(V154&gt;=20000,25,IF(V154&gt;=10000,18,IF(V154&gt;=5000,10,0)))+IF(U154&gt;=15,25,IF(U154&gt;=6,20,IF(U154&gt;=3,10,0)))+IF(Z154&gt;=3,20,IF(Z154&gt;=2,10,0))+IF(AA154="Respondió",-10,0)+IF(AND(Y154="Vigente",X154&gt;Metadatos!$B$13),-10,0))</x:f>
        <x:v>35</x:v>
      </x:c>
      <x:c r="AE154" s="39" t="str">
        <x:f>IF(AD154&gt;=70,"P1",IF(AD154&gt;=50,"P2",IF(AD154&gt;=30,"P3","P4")))</x:f>
        <x:v>P3</x:v>
      </x:c>
      <x:c r="AF154" s="39" t="str">
        <x:v>Prospecto sin urgencia inmediata</x:v>
      </x:c>
      <x:c r="AG154" s="39" t="str">
        <x:v>Pendiente</x:v>
      </x:c>
      <x:c r="AH154" s="39" t="str">
        <x:v>https://www.google.com/maps?q=-4.927957,-80.674750</x:v>
      </x:c>
      <x:c r="AI154" s="39" t="str">
        <x:v>SINTÉTICO</x:v>
      </x:c>
    </x:row>
    <x:row r="155">
      <x:c r="A155" s="39" t="str">
        <x:v>CLI-154</x:v>
      </x:c>
      <x:c r="B155" s="39" t="str">
        <x:v>Cliente 154</x:v>
      </x:c>
      <x:c r="C155" s="39" t="str">
        <x:v>COBRANZA</x:v>
      </x:c>
      <x:c r="D155" s="39" t="str">
        <x:v>Deudor</x:v>
      </x:c>
      <x:c r="E155" s="39" t="str">
        <x:v>Cobranza de crédito</x:v>
      </x:c>
      <x:c r="F155" s="39" t="str">
        <x:v>Recuperación</x:v>
      </x:c>
      <x:c r="G155" s="40" t="n">
        <x:v>-4.884589</x:v>
      </x:c>
      <x:c r="H155" s="40" t="n">
        <x:v>-80.682137</x:v>
      </x:c>
      <x:c r="I155" s="39" t="str">
        <x:v>Sullana</x:v>
      </x:c>
      <x:c r="J155" s="39" t="str">
        <x:v>Sullana</x:v>
      </x:c>
      <x:c r="K155" s="39" t="str">
        <x:v>AG04</x:v>
      </x:c>
      <x:c r="L155" s="39" t="str">
        <x:v>Mibanco Sullana</x:v>
      </x:c>
      <x:c r="M155" s="41" t="n">
        <x:v>1.05</x:v>
      </x:c>
      <x:c r="N155" s="42" t="n">
        <x:v>46292</x:v>
      </x:c>
      <x:c r="O155" s="43" t="n">
        <x:v>0.3541666666666667</x:v>
      </x:c>
      <x:c r="P155" s="43" t="n">
        <x:v>0.4375</x:v>
      </x:c>
      <x:c r="Q155" s="39" t="n">
        <x:v>30</x:v>
      </x:c>
      <x:c r="R155" s="44" t="n">
        <x:v>0</x:v>
      </x:c>
      <x:c r="S155" s="39" t="str">
        <x:v>No aplica</x:v>
      </x:c>
      <x:c r="T155" s="45" t="n">
        <x:v>0</x:v>
      </x:c>
      <x:c r="U155" s="39" t="n">
        <x:v>7</x:v>
      </x:c>
      <x:c r="V155" s="44" t="n">
        <x:v>21100</x:v>
      </x:c>
      <x:c r="W155" s="39" t="str">
        <x:v>Sí</x:v>
      </x:c>
      <x:c r="X155" s="42" t="n">
        <x:v>46294</x:v>
      </x:c>
      <x:c r="Y155" s="39" t="str">
        <x:v>Vigente</x:v>
      </x:c>
      <x:c r="Z155" s="39" t="n">
        <x:v>3</x:v>
      </x:c>
      <x:c r="AA155" s="39" t="str">
        <x:v>No responde</x:v>
      </x:c>
      <x:c r="AB155" s="39" t="str">
        <x:v>No</x:v>
      </x:c>
      <x:c r="AC155" s="39" t="str">
        <x:v>No</x:v>
      </x:c>
      <x:c r="AD155" s="46" t="n">
        <x:f>IF(C155="COMERCIAL",IF(AC155="Sí",40,0)+IF(D155="Recurrente",15,0)+IF(S155="Alto",25,IF(S155="Medio",12,0))+IF(R155&gt;=30000,20,IF(R155&gt;=10000,12,IF(R155&gt;=5000,6,0)))+IF(N155&lt;=Metadatos!$B$13+1,25,0)+IF(AB155="Sí",15,0)+IF(AA155="No responde",-10,0),IF(Y155="Incumplido",40,0)+IF(AND(W155="Sí",X155=Metadatos!$B$13),35,0)+IF(V155&gt;=20000,25,IF(V155&gt;=10000,18,IF(V155&gt;=5000,10,0)))+IF(U155&gt;=15,25,IF(U155&gt;=6,20,IF(U155&gt;=3,10,0)))+IF(Z155&gt;=3,20,IF(Z155&gt;=2,10,0))+IF(AA155="Respondió",-10,0)+IF(AND(Y155="Vigente",X155&gt;Metadatos!$B$13),-10,0))</x:f>
        <x:v>55</x:v>
      </x:c>
      <x:c r="AE155" s="39" t="str">
        <x:f>IF(AD155&gt;=70,"P1",IF(AD155&gt;=50,"P2",IF(AD155&gt;=30,"P3","P4")))</x:f>
        <x:v>P2</x:v>
      </x:c>
      <x:c r="AF155" s="39" t="str">
        <x:v>Varios intentos sin respuesta</x:v>
      </x:c>
      <x:c r="AG155" s="39" t="str">
        <x:v>Programada</x:v>
      </x:c>
      <x:c r="AH155" s="39" t="str">
        <x:v>https://www.google.com/maps?q=-4.884589,-80.682137</x:v>
      </x:c>
      <x:c r="AI155" s="39" t="str">
        <x:v>SINTÉTICO</x:v>
      </x:c>
    </x:row>
    <x:row r="156">
      <x:c r="A156" s="39" t="str">
        <x:v>CLI-155</x:v>
      </x:c>
      <x:c r="B156" s="39" t="str">
        <x:v>Cliente 155</x:v>
      </x:c>
      <x:c r="C156" s="39" t="str">
        <x:v>COMERCIAL</x:v>
      </x:c>
      <x:c r="D156" s="39" t="str">
        <x:v>Recurrente</x:v>
      </x:c>
      <x:c r="E156" s="39" t="str">
        <x:v>Seguro</x:v>
      </x:c>
      <x:c r="F156" s="39" t="str">
        <x:v>Cierre</x:v>
      </x:c>
      <x:c r="G156" s="40" t="n">
        <x:v>-4.891855</x:v>
      </x:c>
      <x:c r="H156" s="40" t="n">
        <x:v>-80.652614</x:v>
      </x:c>
      <x:c r="I156" s="39" t="str">
        <x:v>Sullana</x:v>
      </x:c>
      <x:c r="J156" s="39" t="str">
        <x:v>Sullana</x:v>
      </x:c>
      <x:c r="K156" s="39" t="str">
        <x:v>AG04</x:v>
      </x:c>
      <x:c r="L156" s="39" t="str">
        <x:v>Mibanco Sullana</x:v>
      </x:c>
      <x:c r="M156" s="41" t="n">
        <x:v>3.97</x:v>
      </x:c>
      <x:c r="N156" s="42" t="n">
        <x:v>46291</x:v>
      </x:c>
      <x:c r="O156" s="43" t="n">
        <x:v>0.4583333333333333</x:v>
      </x:c>
      <x:c r="P156" s="43" t="n">
        <x:v>0.5208333333333334</x:v>
      </x:c>
      <x:c r="Q156" s="39" t="n">
        <x:v>50</x:v>
      </x:c>
      <x:c r="R156" s="44" t="n">
        <x:v>30900</x:v>
      </x:c>
      <x:c r="S156" s="39" t="str">
        <x:v>Alto</x:v>
      </x:c>
      <x:c r="T156" s="45" t="n">
        <x:v>0.84</x:v>
      </x:c>
      <x:c r="U156" s="39" t="n">
        <x:v>0</x:v>
      </x:c>
      <x:c r="V156" s="44" t="n">
        <x:v>0</x:v>
      </x:c>
      <x:c r="W156" s="39" t="str">
        <x:v>No</x:v>
      </x:c>
      <x:c r="X156" s="42"/>
      <x:c r="Y156" s="39" t="str">
        <x:v>No aplica</x:v>
      </x:c>
      <x:c r="Z156" s="39" t="n">
        <x:v>0</x:v>
      </x:c>
      <x:c r="AA156" s="39" t="str">
        <x:v>No responde</x:v>
      </x:c>
      <x:c r="AB156" s="39" t="str">
        <x:v>No</x:v>
      </x:c>
      <x:c r="AC156" s="39" t="str">
        <x:v>Sí</x:v>
      </x:c>
      <x:c r="AD156" s="46" t="n">
        <x:f>IF(C156="COMERCIAL",IF(AC156="Sí",40,0)+IF(D156="Recurrente",15,0)+IF(S156="Alto",25,IF(S156="Medio",12,0))+IF(R156&gt;=30000,20,IF(R156&gt;=10000,12,IF(R156&gt;=5000,6,0)))+IF(N156&lt;=Metadatos!$B$13+1,25,0)+IF(AB156="Sí",15,0)+IF(AA156="No responde",-10,0),IF(Y156="Incumplido",40,0)+IF(AND(W156="Sí",X156=Metadatos!$B$13),35,0)+IF(V156&gt;=20000,25,IF(V156&gt;=10000,18,IF(V156&gt;=5000,10,0)))+IF(U156&gt;=15,25,IF(U156&gt;=6,20,IF(U156&gt;=3,10,0)))+IF(Z156&gt;=3,20,IF(Z156&gt;=2,10,0))+IF(AA156="Respondió",-10,0)+IF(AND(Y156="Vigente",X156&gt;Metadatos!$B$13),-10,0))</x:f>
        <x:v>115</x:v>
      </x:c>
      <x:c r="AE156" s="39" t="str">
        <x:f>IF(AD156&gt;=70,"P1",IF(AD156&gt;=50,"P2",IF(AD156&gt;=30,"P3","P4")))</x:f>
        <x:v>P1</x:v>
      </x:c>
      <x:c r="AF156" s="39" t="str">
        <x:v>Operación prevista hoy y cliente recurrente</x:v>
      </x:c>
      <x:c r="AG156" s="39" t="str">
        <x:v>Programada</x:v>
      </x:c>
      <x:c r="AH156" s="39" t="str">
        <x:v>https://www.google.com/maps?q=-4.891855,-80.652614</x:v>
      </x:c>
      <x:c r="AI156" s="39" t="str">
        <x:v>SINTÉTICO</x:v>
      </x:c>
    </x:row>
    <x:row r="157">
      <x:c r="A157" s="39" t="str">
        <x:v>CLI-156</x:v>
      </x:c>
      <x:c r="B157" s="39" t="str">
        <x:v>Cliente 156</x:v>
      </x:c>
      <x:c r="C157" s="39" t="str">
        <x:v>COBRANZA</x:v>
      </x:c>
      <x:c r="D157" s="39" t="str">
        <x:v>Deudor</x:v>
      </x:c>
      <x:c r="E157" s="39" t="str">
        <x:v>Cobranza de crédito</x:v>
      </x:c>
      <x:c r="F157" s="39" t="str">
        <x:v>Recuperación</x:v>
      </x:c>
      <x:c r="G157" s="40" t="n">
        <x:v>-4.858234</x:v>
      </x:c>
      <x:c r="H157" s="40" t="n">
        <x:v>-80.68571</x:v>
      </x:c>
      <x:c r="I157" s="39" t="str">
        <x:v>Sullana</x:v>
      </x:c>
      <x:c r="J157" s="39" t="str">
        <x:v>Sullana</x:v>
      </x:c>
      <x:c r="K157" s="39" t="str">
        <x:v>AG04</x:v>
      </x:c>
      <x:c r="L157" s="39" t="str">
        <x:v>Mibanco Sullana</x:v>
      </x:c>
      <x:c r="M157" s="41" t="n">
        <x:v>3.73</x:v>
      </x:c>
      <x:c r="N157" s="42" t="n">
        <x:v>46291</x:v>
      </x:c>
      <x:c r="O157" s="43" t="n">
        <x:v>0.3333333333333333</x:v>
      </x:c>
      <x:c r="P157" s="43" t="n">
        <x:v>0.4166666666666667</x:v>
      </x:c>
      <x:c r="Q157" s="39" t="n">
        <x:v>30</x:v>
      </x:c>
      <x:c r="R157" s="44" t="n">
        <x:v>0</x:v>
      </x:c>
      <x:c r="S157" s="39" t="str">
        <x:v>No aplica</x:v>
      </x:c>
      <x:c r="T157" s="45" t="n">
        <x:v>0</x:v>
      </x:c>
      <x:c r="U157" s="39" t="n">
        <x:v>22</x:v>
      </x:c>
      <x:c r="V157" s="44" t="n">
        <x:v>16000</x:v>
      </x:c>
      <x:c r="W157" s="39" t="str">
        <x:v>Sí</x:v>
      </x:c>
      <x:c r="X157" s="42" t="n">
        <x:v>46288</x:v>
      </x:c>
      <x:c r="Y157" s="39" t="str">
        <x:v>Incumplido</x:v>
      </x:c>
      <x:c r="Z157" s="39" t="n">
        <x:v>1</x:v>
      </x:c>
      <x:c r="AA157" s="39" t="str">
        <x:v>No responde</x:v>
      </x:c>
      <x:c r="AB157" s="39" t="str">
        <x:v>No</x:v>
      </x:c>
      <x:c r="AC157" s="39" t="str">
        <x:v>No</x:v>
      </x:c>
      <x:c r="AD157" s="46" t="n">
        <x:f>IF(C157="COMERCIAL",IF(AC157="Sí",40,0)+IF(D157="Recurrente",15,0)+IF(S157="Alto",25,IF(S157="Medio",12,0))+IF(R157&gt;=30000,20,IF(R157&gt;=10000,12,IF(R157&gt;=5000,6,0)))+IF(N157&lt;=Metadatos!$B$13+1,25,0)+IF(AB157="Sí",15,0)+IF(AA157="No responde",-10,0),IF(Y157="Incumplido",40,0)+IF(AND(W157="Sí",X157=Metadatos!$B$13),35,0)+IF(V157&gt;=20000,25,IF(V157&gt;=10000,18,IF(V157&gt;=5000,10,0)))+IF(U157&gt;=15,25,IF(U157&gt;=6,20,IF(U157&gt;=3,10,0)))+IF(Z157&gt;=3,20,IF(Z157&gt;=2,10,0))+IF(AA157="Respondió",-10,0)+IF(AND(Y157="Vigente",X157&gt;Metadatos!$B$13),-10,0))</x:f>
        <x:v>83</x:v>
      </x:c>
      <x:c r="AE157" s="39" t="str">
        <x:f>IF(AD157&gt;=70,"P1",IF(AD157&gt;=50,"P2",IF(AD157&gt;=30,"P3","P4")))</x:f>
        <x:v>P1</x:v>
      </x:c>
      <x:c r="AF157" s="39" t="str">
        <x:v>Compromiso incumplido y cliente sin respuesta</x:v>
      </x:c>
      <x:c r="AG157" s="39" t="str">
        <x:v>Pendiente</x:v>
      </x:c>
      <x:c r="AH157" s="39" t="str">
        <x:v>https://www.google.com/maps?q=-4.858234,-80.685710</x:v>
      </x:c>
      <x:c r="AI157" s="39" t="str">
        <x:v>SINTÉTICO</x:v>
      </x:c>
    </x:row>
    <x:row r="158">
      <x:c r="A158" s="39" t="str">
        <x:v>CLI-157</x:v>
      </x:c>
      <x:c r="B158" s="39" t="str">
        <x:v>Cliente 157</x:v>
      </x:c>
      <x:c r="C158" s="39" t="str">
        <x:v>COMERCIAL</x:v>
      </x:c>
      <x:c r="D158" s="39" t="str">
        <x:v>Nuevo</x:v>
      </x:c>
      <x:c r="E158" s="39" t="str">
        <x:v>Capital de trabajo</x:v>
      </x:c>
      <x:c r="F158" s="39" t="str">
        <x:v>Evaluación</x:v>
      </x:c>
      <x:c r="G158" s="40" t="n">
        <x:v>-4.923126</x:v>
      </x:c>
      <x:c r="H158" s="40" t="n">
        <x:v>-80.672754</x:v>
      </x:c>
      <x:c r="I158" s="39" t="str">
        <x:v>Sullana</x:v>
      </x:c>
      <x:c r="J158" s="39" t="str">
        <x:v>Sullana</x:v>
      </x:c>
      <x:c r="K158" s="39" t="str">
        <x:v>AG04</x:v>
      </x:c>
      <x:c r="L158" s="39" t="str">
        <x:v>Mibanco Sullana</x:v>
      </x:c>
      <x:c r="M158" s="41" t="n">
        <x:v>3.91</x:v>
      </x:c>
      <x:c r="N158" s="42" t="n">
        <x:v>46293</x:v>
      </x:c>
      <x:c r="O158" s="43" t="n">
        <x:v>0.5833333333333334</x:v>
      </x:c>
      <x:c r="P158" s="43" t="n">
        <x:v>0.625</x:v>
      </x:c>
      <x:c r="Q158" s="39" t="n">
        <x:v>60</x:v>
      </x:c>
      <x:c r="R158" s="44" t="n">
        <x:v>10500</x:v>
      </x:c>
      <x:c r="S158" s="39" t="str">
        <x:v>Medio</x:v>
      </x:c>
      <x:c r="T158" s="45" t="n">
        <x:v>0.44</x:v>
      </x:c>
      <x:c r="U158" s="39" t="n">
        <x:v>0</x:v>
      </x:c>
      <x:c r="V158" s="44" t="n">
        <x:v>0</x:v>
      </x:c>
      <x:c r="W158" s="39" t="str">
        <x:v>No</x:v>
      </x:c>
      <x:c r="X158" s="42"/>
      <x:c r="Y158" s="39" t="str">
        <x:v>No aplica</x:v>
      </x:c>
      <x:c r="Z158" s="39" t="n">
        <x:v>0</x:v>
      </x:c>
      <x:c r="AA158" s="39" t="str">
        <x:v>Respondió</x:v>
      </x:c>
      <x:c r="AB158" s="39" t="str">
        <x:v>Sí</x:v>
      </x:c>
      <x:c r="AC158" s="39" t="str">
        <x:v>No</x:v>
      </x:c>
      <x:c r="AD158" s="46" t="n">
        <x:f>IF(C158="COMERCIAL",IF(AC158="Sí",40,0)+IF(D158="Recurrente",15,0)+IF(S158="Alto",25,IF(S158="Medio",12,0))+IF(R158&gt;=30000,20,IF(R158&gt;=10000,12,IF(R158&gt;=5000,6,0)))+IF(N158&lt;=Metadatos!$B$13+1,25,0)+IF(AB158="Sí",15,0)+IF(AA158="No responde",-10,0),IF(Y158="Incumplido",40,0)+IF(AND(W158="Sí",X158=Metadatos!$B$13),35,0)+IF(V158&gt;=20000,25,IF(V158&gt;=10000,18,IF(V158&gt;=5000,10,0)))+IF(U158&gt;=15,25,IF(U158&gt;=6,20,IF(U158&gt;=3,10,0)))+IF(Z158&gt;=3,20,IF(Z158&gt;=2,10,0))+IF(AA158="Respondió",-10,0)+IF(AND(Y158="Vigente",X158&gt;Metadatos!$B$13),-10,0))</x:f>
        <x:v>39</x:v>
      </x:c>
      <x:c r="AE158" s="39" t="str">
        <x:f>IF(AD158&gt;=70,"P1",IF(AD158&gt;=50,"P2",IF(AD158&gt;=30,"P3","P4")))</x:f>
        <x:v>P3</x:v>
      </x:c>
      <x:c r="AF158" s="39" t="str">
        <x:v>Interés medio; requiere seguimiento</x:v>
      </x:c>
      <x:c r="AG158" s="39" t="str">
        <x:v>Pendiente</x:v>
      </x:c>
      <x:c r="AH158" s="39" t="str">
        <x:v>https://www.google.com/maps?q=-4.923126,-80.672754</x:v>
      </x:c>
      <x:c r="AI158" s="39" t="str">
        <x:v>SINTÉTICO</x:v>
      </x:c>
    </x:row>
    <x:row r="159">
      <x:c r="A159" s="39" t="str">
        <x:v>CLI-158</x:v>
      </x:c>
      <x:c r="B159" s="39" t="str">
        <x:v>Cliente 158</x:v>
      </x:c>
      <x:c r="C159" s="39" t="str">
        <x:v>COBRANZA</x:v>
      </x:c>
      <x:c r="D159" s="39" t="str">
        <x:v>Deudor</x:v>
      </x:c>
      <x:c r="E159" s="39" t="str">
        <x:v>Cobranza de crédito</x:v>
      </x:c>
      <x:c r="F159" s="39" t="str">
        <x:v>Recuperación</x:v>
      </x:c>
      <x:c r="G159" s="40" t="n">
        <x:v>-4.910029</x:v>
      </x:c>
      <x:c r="H159" s="40" t="n">
        <x:v>-80.687945</x:v>
      </x:c>
      <x:c r="I159" s="39" t="str">
        <x:v>Sullana</x:v>
      </x:c>
      <x:c r="J159" s="39" t="str">
        <x:v>Sullana</x:v>
      </x:c>
      <x:c r="K159" s="39" t="str">
        <x:v>AG04</x:v>
      </x:c>
      <x:c r="L159" s="39" t="str">
        <x:v>Mibanco Sullana</x:v>
      </x:c>
      <x:c r="M159" s="41" t="n">
        <x:v>2.05</x:v>
      </x:c>
      <x:c r="N159" s="42" t="n">
        <x:v>46294</x:v>
      </x:c>
      <x:c r="O159" s="43" t="n">
        <x:v>0.3958333333333333</x:v>
      </x:c>
      <x:c r="P159" s="43" t="n">
        <x:v>0.4375</x:v>
      </x:c>
      <x:c r="Q159" s="39" t="n">
        <x:v>50</x:v>
      </x:c>
      <x:c r="R159" s="44" t="n">
        <x:v>0</x:v>
      </x:c>
      <x:c r="S159" s="39" t="str">
        <x:v>No aplica</x:v>
      </x:c>
      <x:c r="T159" s="45" t="n">
        <x:v>0</x:v>
      </x:c>
      <x:c r="U159" s="39" t="n">
        <x:v>2</x:v>
      </x:c>
      <x:c r="V159" s="44" t="n">
        <x:v>21400</x:v>
      </x:c>
      <x:c r="W159" s="39" t="str">
        <x:v>Sí</x:v>
      </x:c>
      <x:c r="X159" s="42" t="n">
        <x:v>46294</x:v>
      </x:c>
      <x:c r="Y159" s="39" t="str">
        <x:v>Vigente</x:v>
      </x:c>
      <x:c r="Z159" s="39" t="n">
        <x:v>2</x:v>
      </x:c>
      <x:c r="AA159" s="39" t="str">
        <x:v>Respondió</x:v>
      </x:c>
      <x:c r="AB159" s="39" t="str">
        <x:v>No</x:v>
      </x:c>
      <x:c r="AC159" s="39" t="str">
        <x:v>No</x:v>
      </x:c>
      <x:c r="AD159" s="46" t="n">
        <x:f>IF(C159="COMERCIAL",IF(AC159="Sí",40,0)+IF(D159="Recurrente",15,0)+IF(S159="Alto",25,IF(S159="Medio",12,0))+IF(R159&gt;=30000,20,IF(R159&gt;=10000,12,IF(R159&gt;=5000,6,0)))+IF(N159&lt;=Metadatos!$B$13+1,25,0)+IF(AB159="Sí",15,0)+IF(AA159="No responde",-10,0),IF(Y159="Incumplido",40,0)+IF(AND(W159="Sí",X159=Metadatos!$B$13),35,0)+IF(V159&gt;=20000,25,IF(V159&gt;=10000,18,IF(V159&gt;=5000,10,0)))+IF(U159&gt;=15,25,IF(U159&gt;=6,20,IF(U159&gt;=3,10,0)))+IF(Z159&gt;=3,20,IF(Z159&gt;=2,10,0))+IF(AA159="Respondió",-10,0)+IF(AND(Y159="Vigente",X159&gt;Metadatos!$B$13),-10,0))</x:f>
        <x:v>15</x:v>
      </x:c>
      <x:c r="AE159" s="39" t="str">
        <x:f>IF(AD159&gt;=70,"P1",IF(AD159&gt;=50,"P2",IF(AD159&gt;=30,"P3","P4")))</x:f>
        <x:v>P4</x:v>
      </x:c>
      <x:c r="AF159" s="39" t="str">
        <x:v>Mora reciente con seguimiento programable</x:v>
      </x:c>
      <x:c r="AG159" s="39" t="str">
        <x:v>Pendiente</x:v>
      </x:c>
      <x:c r="AH159" s="39" t="str">
        <x:v>https://www.google.com/maps?q=-4.910029,-80.687945</x:v>
      </x:c>
      <x:c r="AI159" s="39" t="str">
        <x:v>SINTÉTICO</x:v>
      </x:c>
    </x:row>
    <x:row r="160">
      <x:c r="A160" s="39" t="str">
        <x:v>CLI-159</x:v>
      </x:c>
      <x:c r="B160" s="39" t="str">
        <x:v>Cliente 159</x:v>
      </x:c>
      <x:c r="C160" s="39" t="str">
        <x:v>COMERCIAL</x:v>
      </x:c>
      <x:c r="D160" s="39" t="str">
        <x:v>Nuevo</x:v>
      </x:c>
      <x:c r="E160" s="39" t="str">
        <x:v>Ahorro</x:v>
      </x:c>
      <x:c r="F160" s="39" t="str">
        <x:v>Evaluación</x:v>
      </x:c>
      <x:c r="G160" s="40" t="n">
        <x:v>-4.89896</x:v>
      </x:c>
      <x:c r="H160" s="40" t="n">
        <x:v>-80.691616</x:v>
      </x:c>
      <x:c r="I160" s="39" t="str">
        <x:v>Sullana</x:v>
      </x:c>
      <x:c r="J160" s="39" t="str">
        <x:v>Sullana</x:v>
      </x:c>
      <x:c r="K160" s="39" t="str">
        <x:v>AG04</x:v>
      </x:c>
      <x:c r="L160" s="39" t="str">
        <x:v>Mibanco Sullana</x:v>
      </x:c>
      <x:c r="M160" s="41" t="n">
        <x:v>0.89</x:v>
      </x:c>
      <x:c r="N160" s="42" t="n">
        <x:v>46293</x:v>
      </x:c>
      <x:c r="O160" s="43" t="n">
        <x:v>0.3541666666666667</x:v>
      </x:c>
      <x:c r="P160" s="43" t="n">
        <x:v>0.3958333333333333</x:v>
      </x:c>
      <x:c r="Q160" s="39" t="n">
        <x:v>25</x:v>
      </x:c>
      <x:c r="R160" s="44" t="n">
        <x:v>28500</x:v>
      </x:c>
      <x:c r="S160" s="39" t="str">
        <x:v>Medio</x:v>
      </x:c>
      <x:c r="T160" s="45" t="n">
        <x:v>0.65</x:v>
      </x:c>
      <x:c r="U160" s="39" t="n">
        <x:v>0</x:v>
      </x:c>
      <x:c r="V160" s="44" t="n">
        <x:v>0</x:v>
      </x:c>
      <x:c r="W160" s="39" t="str">
        <x:v>No</x:v>
      </x:c>
      <x:c r="X160" s="42"/>
      <x:c r="Y160" s="39" t="str">
        <x:v>No aplica</x:v>
      </x:c>
      <x:c r="Z160" s="39" t="n">
        <x:v>0</x:v>
      </x:c>
      <x:c r="AA160" s="39" t="str">
        <x:v>No responde</x:v>
      </x:c>
      <x:c r="AB160" s="39" t="str">
        <x:v>No</x:v>
      </x:c>
      <x:c r="AC160" s="39" t="str">
        <x:v>No</x:v>
      </x:c>
      <x:c r="AD160" s="46" t="n">
        <x:f>IF(C160="COMERCIAL",IF(AC160="Sí",40,0)+IF(D160="Recurrente",15,0)+IF(S160="Alto",25,IF(S160="Medio",12,0))+IF(R160&gt;=30000,20,IF(R160&gt;=10000,12,IF(R160&gt;=5000,6,0)))+IF(N160&lt;=Metadatos!$B$13+1,25,0)+IF(AB160="Sí",15,0)+IF(AA160="No responde",-10,0),IF(Y160="Incumplido",40,0)+IF(AND(W160="Sí",X160=Metadatos!$B$13),35,0)+IF(V160&gt;=20000,25,IF(V160&gt;=10000,18,IF(V160&gt;=5000,10,0)))+IF(U160&gt;=15,25,IF(U160&gt;=6,20,IF(U160&gt;=3,10,0)))+IF(Z160&gt;=3,20,IF(Z160&gt;=2,10,0))+IF(AA160="Respondió",-10,0)+IF(AND(Y160="Vigente",X160&gt;Metadatos!$B$13),-10,0))</x:f>
        <x:v>14</x:v>
      </x:c>
      <x:c r="AE160" s="39" t="str">
        <x:f>IF(AD160&gt;=70,"P1",IF(AD160&gt;=50,"P2",IF(AD160&gt;=30,"P3","P4")))</x:f>
        <x:v>P4</x:v>
      </x:c>
      <x:c r="AF160" s="39" t="str">
        <x:v>Interés medio; requiere seguimiento</x:v>
      </x:c>
      <x:c r="AG160" s="39" t="str">
        <x:v>Programada</x:v>
      </x:c>
      <x:c r="AH160" s="39" t="str">
        <x:v>https://www.google.com/maps?q=-4.898960,-80.691616</x:v>
      </x:c>
      <x:c r="AI160" s="39" t="str">
        <x:v>SINTÉTICO</x:v>
      </x:c>
    </x:row>
    <x:row r="161">
      <x:c r="A161" s="39" t="str">
        <x:v>CLI-160</x:v>
      </x:c>
      <x:c r="B161" s="39" t="str">
        <x:v>Cliente 160</x:v>
      </x:c>
      <x:c r="C161" s="39" t="str">
        <x:v>COBRANZA</x:v>
      </x:c>
      <x:c r="D161" s="39" t="str">
        <x:v>Deudor</x:v>
      </x:c>
      <x:c r="E161" s="39" t="str">
        <x:v>Cobranza de crédito</x:v>
      </x:c>
      <x:c r="F161" s="39" t="str">
        <x:v>Recuperación</x:v>
      </x:c>
      <x:c r="G161" s="40" t="n">
        <x:v>-4.913197</x:v>
      </x:c>
      <x:c r="H161" s="40" t="n">
        <x:v>-80.708193</x:v>
      </x:c>
      <x:c r="I161" s="39" t="str">
        <x:v>Sullana</x:v>
      </x:c>
      <x:c r="J161" s="39" t="str">
        <x:v>Sullana</x:v>
      </x:c>
      <x:c r="K161" s="39" t="str">
        <x:v>AG04</x:v>
      </x:c>
      <x:c r="L161" s="39" t="str">
        <x:v>Mibanco Sullana</x:v>
      </x:c>
      <x:c r="M161" s="41" t="n">
        <x:v>3.25</x:v>
      </x:c>
      <x:c r="N161" s="42" t="n">
        <x:v>46293</x:v>
      </x:c>
      <x:c r="O161" s="43" t="n">
        <x:v>0.5416666666666666</x:v>
      </x:c>
      <x:c r="P161" s="43" t="n">
        <x:v>0.625</x:v>
      </x:c>
      <x:c r="Q161" s="39" t="n">
        <x:v>40</x:v>
      </x:c>
      <x:c r="R161" s="44" t="n">
        <x:v>0</x:v>
      </x:c>
      <x:c r="S161" s="39" t="str">
        <x:v>No aplica</x:v>
      </x:c>
      <x:c r="T161" s="45" t="n">
        <x:v>0</x:v>
      </x:c>
      <x:c r="U161" s="39" t="n">
        <x:v>5</x:v>
      </x:c>
      <x:c r="V161" s="44" t="n">
        <x:v>19200</x:v>
      </x:c>
      <x:c r="W161" s="39" t="str">
        <x:v>Sí</x:v>
      </x:c>
      <x:c r="X161" s="42" t="n">
        <x:v>46294</x:v>
      </x:c>
      <x:c r="Y161" s="39" t="str">
        <x:v>Vigente</x:v>
      </x:c>
      <x:c r="Z161" s="39" t="n">
        <x:v>1</x:v>
      </x:c>
      <x:c r="AA161" s="39" t="str">
        <x:v>No responde</x:v>
      </x:c>
      <x:c r="AB161" s="39" t="str">
        <x:v>No</x:v>
      </x:c>
      <x:c r="AC161" s="39" t="str">
        <x:v>No</x:v>
      </x:c>
      <x:c r="AD161" s="46" t="n">
        <x:f>IF(C161="COMERCIAL",IF(AC161="Sí",40,0)+IF(D161="Recurrente",15,0)+IF(S161="Alto",25,IF(S161="Medio",12,0))+IF(R161&gt;=30000,20,IF(R161&gt;=10000,12,IF(R161&gt;=5000,6,0)))+IF(N161&lt;=Metadatos!$B$13+1,25,0)+IF(AB161="Sí",15,0)+IF(AA161="No responde",-10,0),IF(Y161="Incumplido",40,0)+IF(AND(W161="Sí",X161=Metadatos!$B$13),35,0)+IF(V161&gt;=20000,25,IF(V161&gt;=10000,18,IF(V161&gt;=5000,10,0)))+IF(U161&gt;=15,25,IF(U161&gt;=6,20,IF(U161&gt;=3,10,0)))+IF(Z161&gt;=3,20,IF(Z161&gt;=2,10,0))+IF(AA161="Respondió",-10,0)+IF(AND(Y161="Vigente",X161&gt;Metadatos!$B$13),-10,0))</x:f>
        <x:v>18</x:v>
      </x:c>
      <x:c r="AE161" s="39" t="str">
        <x:f>IF(AD161&gt;=70,"P1",IF(AD161&gt;=50,"P2",IF(AD161&gt;=30,"P3","P4")))</x:f>
        <x:v>P4</x:v>
      </x:c>
      <x:c r="AF161" s="39" t="str">
        <x:v>Mora reciente con seguimiento programable</x:v>
      </x:c>
      <x:c r="AG161" s="39" t="str">
        <x:v>Pendiente</x:v>
      </x:c>
      <x:c r="AH161" s="39" t="str">
        <x:v>https://www.google.com/maps?q=-4.913197,-80.708193</x:v>
      </x:c>
      <x:c r="AI161" s="39" t="str">
        <x:v>SINTÉTICO</x:v>
      </x:c>
    </x:row>
    <x:row r="162">
      <x:c r="A162" s="39" t="str">
        <x:v>CLI-161</x:v>
      </x:c>
      <x:c r="B162" s="39" t="str">
        <x:v>Cliente 161</x:v>
      </x:c>
      <x:c r="C162" s="39" t="str">
        <x:v>COMERCIAL</x:v>
      </x:c>
      <x:c r="D162" s="39" t="str">
        <x:v>Nuevo</x:v>
      </x:c>
      <x:c r="E162" s="39" t="str">
        <x:v>Ahorro</x:v>
      </x:c>
      <x:c r="F162" s="39" t="str">
        <x:v>Contactado</x:v>
      </x:c>
      <x:c r="G162" s="40" t="n">
        <x:v>-4.930437</x:v>
      </x:c>
      <x:c r="H162" s="40" t="n">
        <x:v>-80.701781</x:v>
      </x:c>
      <x:c r="I162" s="39" t="str">
        <x:v>Sullana</x:v>
      </x:c>
      <x:c r="J162" s="39" t="str">
        <x:v>Sullana</x:v>
      </x:c>
      <x:c r="K162" s="39" t="str">
        <x:v>AG04</x:v>
      </x:c>
      <x:c r="L162" s="39" t="str">
        <x:v>Mibanco Sullana</x:v>
      </x:c>
      <x:c r="M162" s="41" t="n">
        <x:v>4.57</x:v>
      </x:c>
      <x:c r="N162" s="42" t="n">
        <x:v>46292</x:v>
      </x:c>
      <x:c r="O162" s="43" t="n">
        <x:v>0.4791666666666667</x:v>
      </x:c>
      <x:c r="P162" s="43" t="n">
        <x:v>0.5416666666666666</x:v>
      </x:c>
      <x:c r="Q162" s="39" t="n">
        <x:v>40</x:v>
      </x:c>
      <x:c r="R162" s="44" t="n">
        <x:v>42000</x:v>
      </x:c>
      <x:c r="S162" s="39" t="str">
        <x:v>Medio</x:v>
      </x:c>
      <x:c r="T162" s="45" t="n">
        <x:v>0.58</x:v>
      </x:c>
      <x:c r="U162" s="39" t="n">
        <x:v>0</x:v>
      </x:c>
      <x:c r="V162" s="44" t="n">
        <x:v>0</x:v>
      </x:c>
      <x:c r="W162" s="39" t="str">
        <x:v>No</x:v>
      </x:c>
      <x:c r="X162" s="42"/>
      <x:c r="Y162" s="39" t="str">
        <x:v>No aplica</x:v>
      </x:c>
      <x:c r="Z162" s="39" t="n">
        <x:v>0</x:v>
      </x:c>
      <x:c r="AA162" s="39" t="str">
        <x:v>Respondió</x:v>
      </x:c>
      <x:c r="AB162" s="39" t="str">
        <x:v>Sí</x:v>
      </x:c>
      <x:c r="AC162" s="39" t="str">
        <x:v>No</x:v>
      </x:c>
      <x:c r="AD162" s="46" t="n">
        <x:f>IF(C162="COMERCIAL",IF(AC162="Sí",40,0)+IF(D162="Recurrente",15,0)+IF(S162="Alto",25,IF(S162="Medio",12,0))+IF(R162&gt;=30000,20,IF(R162&gt;=10000,12,IF(R162&gt;=5000,6,0)))+IF(N162&lt;=Metadatos!$B$13+1,25,0)+IF(AB162="Sí",15,0)+IF(AA162="No responde",-10,0),IF(Y162="Incumplido",40,0)+IF(AND(W162="Sí",X162=Metadatos!$B$13),35,0)+IF(V162&gt;=20000,25,IF(V162&gt;=10000,18,IF(V162&gt;=5000,10,0)))+IF(U162&gt;=15,25,IF(U162&gt;=6,20,IF(U162&gt;=3,10,0)))+IF(Z162&gt;=3,20,IF(Z162&gt;=2,10,0))+IF(AA162="Respondió",-10,0)+IF(AND(Y162="Vigente",X162&gt;Metadatos!$B$13),-10,0))</x:f>
        <x:v>72</x:v>
      </x:c>
      <x:c r="AE162" s="39" t="str">
        <x:f>IF(AD162&gt;=70,"P1",IF(AD162&gt;=50,"P2",IF(AD162&gt;=30,"P3","P4")))</x:f>
        <x:v>P1</x:v>
      </x:c>
      <x:c r="AF162" s="39" t="str">
        <x:v>Interés medio; requiere seguimiento</x:v>
      </x:c>
      <x:c r="AG162" s="39" t="str">
        <x:v>Pendiente</x:v>
      </x:c>
      <x:c r="AH162" s="39" t="str">
        <x:v>https://www.google.com/maps?q=-4.930437,-80.701781</x:v>
      </x:c>
      <x:c r="AI162" s="39" t="str">
        <x:v>SINTÉTICO</x:v>
      </x:c>
    </x:row>
    <x:row r="163">
      <x:c r="A163" s="39" t="str">
        <x:v>CLI-162</x:v>
      </x:c>
      <x:c r="B163" s="39" t="str">
        <x:v>Cliente 162</x:v>
      </x:c>
      <x:c r="C163" s="39" t="str">
        <x:v>COBRANZA</x:v>
      </x:c>
      <x:c r="D163" s="39" t="str">
        <x:v>Deudor</x:v>
      </x:c>
      <x:c r="E163" s="39" t="str">
        <x:v>Cobranza de crédito</x:v>
      </x:c>
      <x:c r="F163" s="39" t="str">
        <x:v>Recuperación</x:v>
      </x:c>
      <x:c r="G163" s="40" t="n">
        <x:v>-4.915453</x:v>
      </x:c>
      <x:c r="H163" s="40" t="n">
        <x:v>-80.666243</x:v>
      </x:c>
      <x:c r="I163" s="39" t="str">
        <x:v>Sullana</x:v>
      </x:c>
      <x:c r="J163" s="39" t="str">
        <x:v>Sullana</x:v>
      </x:c>
      <x:c r="K163" s="39" t="str">
        <x:v>AG04</x:v>
      </x:c>
      <x:c r="L163" s="39" t="str">
        <x:v>Mibanco Sullana</x:v>
      </x:c>
      <x:c r="M163" s="41" t="n">
        <x:v>3.62</x:v>
      </x:c>
      <x:c r="N163" s="42" t="n">
        <x:v>46291</x:v>
      </x:c>
      <x:c r="O163" s="43" t="n">
        <x:v>0.3541666666666667</x:v>
      </x:c>
      <x:c r="P163" s="43" t="n">
        <x:v>0.4375</x:v>
      </x:c>
      <x:c r="Q163" s="39" t="n">
        <x:v>40</x:v>
      </x:c>
      <x:c r="R163" s="44" t="n">
        <x:v>0</x:v>
      </x:c>
      <x:c r="S163" s="39" t="str">
        <x:v>No aplica</x:v>
      </x:c>
      <x:c r="T163" s="45" t="n">
        <x:v>0</x:v>
      </x:c>
      <x:c r="U163" s="39" t="n">
        <x:v>10</x:v>
      </x:c>
      <x:c r="V163" s="44" t="n">
        <x:v>9900</x:v>
      </x:c>
      <x:c r="W163" s="39" t="str">
        <x:v>Sí</x:v>
      </x:c>
      <x:c r="X163" s="42" t="n">
        <x:v>46291</x:v>
      </x:c>
      <x:c r="Y163" s="39" t="str">
        <x:v>Vigente</x:v>
      </x:c>
      <x:c r="Z163" s="39" t="n">
        <x:v>0</x:v>
      </x:c>
      <x:c r="AA163" s="39" t="str">
        <x:v>Respondió</x:v>
      </x:c>
      <x:c r="AB163" s="39" t="str">
        <x:v>No</x:v>
      </x:c>
      <x:c r="AC163" s="39" t="str">
        <x:v>Sí</x:v>
      </x:c>
      <x:c r="AD163" s="46" t="n">
        <x:f>IF(C163="COMERCIAL",IF(AC163="Sí",40,0)+IF(D163="Recurrente",15,0)+IF(S163="Alto",25,IF(S163="Medio",12,0))+IF(R163&gt;=30000,20,IF(R163&gt;=10000,12,IF(R163&gt;=5000,6,0)))+IF(N163&lt;=Metadatos!$B$13+1,25,0)+IF(AB163="Sí",15,0)+IF(AA163="No responde",-10,0),IF(Y163="Incumplido",40,0)+IF(AND(W163="Sí",X163=Metadatos!$B$13),35,0)+IF(V163&gt;=20000,25,IF(V163&gt;=10000,18,IF(V163&gt;=5000,10,0)))+IF(U163&gt;=15,25,IF(U163&gt;=6,20,IF(U163&gt;=3,10,0)))+IF(Z163&gt;=3,20,IF(Z163&gt;=2,10,0))+IF(AA163="Respondió",-10,0)+IF(AND(Y163="Vigente",X163&gt;Metadatos!$B$13),-10,0))</x:f>
        <x:v>55</x:v>
      </x:c>
      <x:c r="AE163" s="39" t="str">
        <x:f>IF(AD163&gt;=70,"P1",IF(AD163&gt;=50,"P2",IF(AD163&gt;=30,"P3","P4")))</x:f>
        <x:v>P2</x:v>
      </x:c>
      <x:c r="AF163" s="39" t="str">
        <x:v>Compromiso de pago con vencimiento hoy</x:v>
      </x:c>
      <x:c r="AG163" s="39" t="str">
        <x:v>Pendiente</x:v>
      </x:c>
      <x:c r="AH163" s="39" t="str">
        <x:v>https://www.google.com/maps?q=-4.915453,-80.666243</x:v>
      </x:c>
      <x:c r="AI163" s="39" t="str">
        <x:v>SINTÉTICO</x:v>
      </x:c>
    </x:row>
    <x:row r="164">
      <x:c r="A164" s="39" t="str">
        <x:v>CLI-163</x:v>
      </x:c>
      <x:c r="B164" s="39" t="str">
        <x:v>Cliente 163</x:v>
      </x:c>
      <x:c r="C164" s="39" t="str">
        <x:v>COMERCIAL</x:v>
      </x:c>
      <x:c r="D164" s="39" t="str">
        <x:v>Recurrente</x:v>
      </x:c>
      <x:c r="E164" s="39" t="str">
        <x:v>Crédito para negocio</x:v>
      </x:c>
      <x:c r="F164" s="39" t="str">
        <x:v>Contactado</x:v>
      </x:c>
      <x:c r="G164" s="40" t="n">
        <x:v>-4.908278</x:v>
      </x:c>
      <x:c r="H164" s="40" t="n">
        <x:v>-80.706999</x:v>
      </x:c>
      <x:c r="I164" s="39" t="str">
        <x:v>Sullana</x:v>
      </x:c>
      <x:c r="J164" s="39" t="str">
        <x:v>Sullana</x:v>
      </x:c>
      <x:c r="K164" s="39" t="str">
        <x:v>AG04</x:v>
      </x:c>
      <x:c r="L164" s="39" t="str">
        <x:v>Mibanco Sullana</x:v>
      </x:c>
      <x:c r="M164" s="41" t="n">
        <x:v>2.77</x:v>
      </x:c>
      <x:c r="N164" s="42" t="n">
        <x:v>46292</x:v>
      </x:c>
      <x:c r="O164" s="43" t="n">
        <x:v>0.6041666666666666</x:v>
      </x:c>
      <x:c r="P164" s="43" t="n">
        <x:v>0.6875</x:v>
      </x:c>
      <x:c r="Q164" s="39" t="n">
        <x:v>35</x:v>
      </x:c>
      <x:c r="R164" s="44" t="n">
        <x:v>15900</x:v>
      </x:c>
      <x:c r="S164" s="39" t="str">
        <x:v>Medio</x:v>
      </x:c>
      <x:c r="T164" s="45" t="n">
        <x:v>0.48</x:v>
      </x:c>
      <x:c r="U164" s="39" t="n">
        <x:v>0</x:v>
      </x:c>
      <x:c r="V164" s="44" t="n">
        <x:v>0</x:v>
      </x:c>
      <x:c r="W164" s="39" t="str">
        <x:v>No</x:v>
      </x:c>
      <x:c r="X164" s="42"/>
      <x:c r="Y164" s="39" t="str">
        <x:v>No aplica</x:v>
      </x:c>
      <x:c r="Z164" s="39" t="n">
        <x:v>0</x:v>
      </x:c>
      <x:c r="AA164" s="39" t="str">
        <x:v>No responde</x:v>
      </x:c>
      <x:c r="AB164" s="39" t="str">
        <x:v>No</x:v>
      </x:c>
      <x:c r="AC164" s="39" t="str">
        <x:v>No</x:v>
      </x:c>
      <x:c r="AD164" s="46" t="n">
        <x:f>IF(C164="COMERCIAL",IF(AC164="Sí",40,0)+IF(D164="Recurrente",15,0)+IF(S164="Alto",25,IF(S164="Medio",12,0))+IF(R164&gt;=30000,20,IF(R164&gt;=10000,12,IF(R164&gt;=5000,6,0)))+IF(N164&lt;=Metadatos!$B$13+1,25,0)+IF(AB164="Sí",15,0)+IF(AA164="No responde",-10,0),IF(Y164="Incumplido",40,0)+IF(AND(W164="Sí",X164=Metadatos!$B$13),35,0)+IF(V164&gt;=20000,25,IF(V164&gt;=10000,18,IF(V164&gt;=5000,10,0)))+IF(U164&gt;=15,25,IF(U164&gt;=6,20,IF(U164&gt;=3,10,0)))+IF(Z164&gt;=3,20,IF(Z164&gt;=2,10,0))+IF(AA164="Respondió",-10,0)+IF(AND(Y164="Vigente",X164&gt;Metadatos!$B$13),-10,0))</x:f>
        <x:v>54</x:v>
      </x:c>
      <x:c r="AE164" s="39" t="str">
        <x:f>IF(AD164&gt;=70,"P1",IF(AD164&gt;=50,"P2",IF(AD164&gt;=30,"P3","P4")))</x:f>
        <x:v>P2</x:v>
      </x:c>
      <x:c r="AF164" s="39" t="str">
        <x:v>Cliente recurrente con oportunidad activa</x:v>
      </x:c>
      <x:c r="AG164" s="39" t="str">
        <x:v>Programada</x:v>
      </x:c>
      <x:c r="AH164" s="39" t="str">
        <x:v>https://www.google.com/maps?q=-4.908278,-80.706999</x:v>
      </x:c>
      <x:c r="AI164" s="39" t="str">
        <x:v>SINTÉTICO</x:v>
      </x:c>
    </x:row>
    <x:row r="165">
      <x:c r="A165" s="39" t="str">
        <x:v>CLI-164</x:v>
      </x:c>
      <x:c r="B165" s="39" t="str">
        <x:v>Cliente 164</x:v>
      </x:c>
      <x:c r="C165" s="39" t="str">
        <x:v>COBRANZA</x:v>
      </x:c>
      <x:c r="D165" s="39" t="str">
        <x:v>Deudor</x:v>
      </x:c>
      <x:c r="E165" s="39" t="str">
        <x:v>Cobranza de crédito</x:v>
      </x:c>
      <x:c r="F165" s="39" t="str">
        <x:v>Recuperación</x:v>
      </x:c>
      <x:c r="G165" s="40" t="n">
        <x:v>-4.926335</x:v>
      </x:c>
      <x:c r="H165" s="40" t="n">
        <x:v>-80.691232</x:v>
      </x:c>
      <x:c r="I165" s="39" t="str">
        <x:v>Sullana</x:v>
      </x:c>
      <x:c r="J165" s="39" t="str">
        <x:v>Sullana</x:v>
      </x:c>
      <x:c r="K165" s="39" t="str">
        <x:v>AG04</x:v>
      </x:c>
      <x:c r="L165" s="39" t="str">
        <x:v>Mibanco Sullana</x:v>
      </x:c>
      <x:c r="M165" s="41" t="n">
        <x:v>3.88</x:v>
      </x:c>
      <x:c r="N165" s="42" t="n">
        <x:v>46293</x:v>
      </x:c>
      <x:c r="O165" s="43" t="n">
        <x:v>0.5208333333333334</x:v>
      </x:c>
      <x:c r="P165" s="43" t="n">
        <x:v>0.6041666666666666</x:v>
      </x:c>
      <x:c r="Q165" s="39" t="n">
        <x:v>25</x:v>
      </x:c>
      <x:c r="R165" s="44" t="n">
        <x:v>0</x:v>
      </x:c>
      <x:c r="S165" s="39" t="str">
        <x:v>No aplica</x:v>
      </x:c>
      <x:c r="T165" s="45" t="n">
        <x:v>0</x:v>
      </x:c>
      <x:c r="U165" s="39" t="n">
        <x:v>6</x:v>
      </x:c>
      <x:c r="V165" s="44" t="n">
        <x:v>24900</x:v>
      </x:c>
      <x:c r="W165" s="39" t="str">
        <x:v>Sí</x:v>
      </x:c>
      <x:c r="X165" s="42" t="n">
        <x:v>46294</x:v>
      </x:c>
      <x:c r="Y165" s="39" t="str">
        <x:v>Vigente</x:v>
      </x:c>
      <x:c r="Z165" s="39" t="n">
        <x:v>1</x:v>
      </x:c>
      <x:c r="AA165" s="39" t="str">
        <x:v>Respondió</x:v>
      </x:c>
      <x:c r="AB165" s="39" t="str">
        <x:v>No</x:v>
      </x:c>
      <x:c r="AC165" s="39" t="str">
        <x:v>No</x:v>
      </x:c>
      <x:c r="AD165" s="46" t="n">
        <x:f>IF(C165="COMERCIAL",IF(AC165="Sí",40,0)+IF(D165="Recurrente",15,0)+IF(S165="Alto",25,IF(S165="Medio",12,0))+IF(R165&gt;=30000,20,IF(R165&gt;=10000,12,IF(R165&gt;=5000,6,0)))+IF(N165&lt;=Metadatos!$B$13+1,25,0)+IF(AB165="Sí",15,0)+IF(AA165="No responde",-10,0),IF(Y165="Incumplido",40,0)+IF(AND(W165="Sí",X165=Metadatos!$B$13),35,0)+IF(V165&gt;=20000,25,IF(V165&gt;=10000,18,IF(V165&gt;=5000,10,0)))+IF(U165&gt;=15,25,IF(U165&gt;=6,20,IF(U165&gt;=3,10,0)))+IF(Z165&gt;=3,20,IF(Z165&gt;=2,10,0))+IF(AA165="Respondió",-10,0)+IF(AND(Y165="Vigente",X165&gt;Metadatos!$B$13),-10,0))</x:f>
        <x:v>25</x:v>
      </x:c>
      <x:c r="AE165" s="39" t="str">
        <x:f>IF(AD165&gt;=70,"P1",IF(AD165&gt;=50,"P2",IF(AD165&gt;=30,"P3","P4")))</x:f>
        <x:v>P4</x:v>
      </x:c>
      <x:c r="AF165" s="39" t="str">
        <x:v>Seguimiento por días de mora</x:v>
      </x:c>
      <x:c r="AG165" s="39" t="str">
        <x:v>Pendiente</x:v>
      </x:c>
      <x:c r="AH165" s="39" t="str">
        <x:v>https://www.google.com/maps?q=-4.926335,-80.691232</x:v>
      </x:c>
      <x:c r="AI165" s="39" t="str">
        <x:v>SINTÉTICO</x:v>
      </x:c>
    </x:row>
    <x:row r="166">
      <x:c r="A166" s="39" t="str">
        <x:v>CLI-165</x:v>
      </x:c>
      <x:c r="B166" s="39" t="str">
        <x:v>Cliente 165</x:v>
      </x:c>
      <x:c r="C166" s="39" t="str">
        <x:v>COMERCIAL</x:v>
      </x:c>
      <x:c r="D166" s="39" t="str">
        <x:v>Recurrente</x:v>
      </x:c>
      <x:c r="E166" s="39" t="str">
        <x:v>Seguro</x:v>
      </x:c>
      <x:c r="F166" s="39" t="str">
        <x:v>Contactado</x:v>
      </x:c>
      <x:c r="G166" s="40" t="n">
        <x:v>-4.898325</x:v>
      </x:c>
      <x:c r="H166" s="40" t="n">
        <x:v>-80.684737</x:v>
      </x:c>
      <x:c r="I166" s="39" t="str">
        <x:v>Sullana</x:v>
      </x:c>
      <x:c r="J166" s="39" t="str">
        <x:v>Sullana</x:v>
      </x:c>
      <x:c r="K166" s="39" t="str">
        <x:v>AG04</x:v>
      </x:c>
      <x:c r="L166" s="39" t="str">
        <x:v>Mibanco Sullana</x:v>
      </x:c>
      <x:c r="M166" s="41" t="n">
        <x:v>0.85</x:v>
      </x:c>
      <x:c r="N166" s="42" t="n">
        <x:v>46292</x:v>
      </x:c>
      <x:c r="O166" s="43" t="n">
        <x:v>0.5</x:v>
      </x:c>
      <x:c r="P166" s="43" t="n">
        <x:v>0.5416666666666666</x:v>
      </x:c>
      <x:c r="Q166" s="39" t="n">
        <x:v>35</x:v>
      </x:c>
      <x:c r="R166" s="44" t="n">
        <x:v>34200</x:v>
      </x:c>
      <x:c r="S166" s="39" t="str">
        <x:v>Medio</x:v>
      </x:c>
      <x:c r="T166" s="45" t="n">
        <x:v>0.46</x:v>
      </x:c>
      <x:c r="U166" s="39" t="n">
        <x:v>0</x:v>
      </x:c>
      <x:c r="V166" s="44" t="n">
        <x:v>0</x:v>
      </x:c>
      <x:c r="W166" s="39" t="str">
        <x:v>No</x:v>
      </x:c>
      <x:c r="X166" s="42"/>
      <x:c r="Y166" s="39" t="str">
        <x:v>No aplica</x:v>
      </x:c>
      <x:c r="Z166" s="39" t="n">
        <x:v>0</x:v>
      </x:c>
      <x:c r="AA166" s="39" t="str">
        <x:v>Respondió</x:v>
      </x:c>
      <x:c r="AB166" s="39" t="str">
        <x:v>No</x:v>
      </x:c>
      <x:c r="AC166" s="39" t="str">
        <x:v>No</x:v>
      </x:c>
      <x:c r="AD166" s="46" t="n">
        <x:f>IF(C166="COMERCIAL",IF(AC166="Sí",40,0)+IF(D166="Recurrente",15,0)+IF(S166="Alto",25,IF(S166="Medio",12,0))+IF(R166&gt;=30000,20,IF(R166&gt;=10000,12,IF(R166&gt;=5000,6,0)))+IF(N166&lt;=Metadatos!$B$13+1,25,0)+IF(AB166="Sí",15,0)+IF(AA166="No responde",-10,0),IF(Y166="Incumplido",40,0)+IF(AND(W166="Sí",X166=Metadatos!$B$13),35,0)+IF(V166&gt;=20000,25,IF(V166&gt;=10000,18,IF(V166&gt;=5000,10,0)))+IF(U166&gt;=15,25,IF(U166&gt;=6,20,IF(U166&gt;=3,10,0)))+IF(Z166&gt;=3,20,IF(Z166&gt;=2,10,0))+IF(AA166="Respondió",-10,0)+IF(AND(Y166="Vigente",X166&gt;Metadatos!$B$13),-10,0))</x:f>
        <x:v>72</x:v>
      </x:c>
      <x:c r="AE166" s="39" t="str">
        <x:f>IF(AD166&gt;=70,"P1",IF(AD166&gt;=50,"P2",IF(AD166&gt;=30,"P3","P4")))</x:f>
        <x:v>P1</x:v>
      </x:c>
      <x:c r="AF166" s="39" t="str">
        <x:v>Cliente recurrente con oportunidad activa</x:v>
      </x:c>
      <x:c r="AG166" s="39" t="str">
        <x:v>Pendiente</x:v>
      </x:c>
      <x:c r="AH166" s="39" t="str">
        <x:v>https://www.google.com/maps?q=-4.898325,-80.684737</x:v>
      </x:c>
      <x:c r="AI166" s="39" t="str">
        <x:v>SINTÉTICO</x:v>
      </x:c>
    </x:row>
    <x:row r="167">
      <x:c r="A167" s="39" t="str">
        <x:v>CLI-166</x:v>
      </x:c>
      <x:c r="B167" s="39" t="str">
        <x:v>Cliente 166</x:v>
      </x:c>
      <x:c r="C167" s="39" t="str">
        <x:v>COBRANZA</x:v>
      </x:c>
      <x:c r="D167" s="39" t="str">
        <x:v>Deudor</x:v>
      </x:c>
      <x:c r="E167" s="39" t="str">
        <x:v>Cobranza de crédito</x:v>
      </x:c>
      <x:c r="F167" s="39" t="str">
        <x:v>Recuperación</x:v>
      </x:c>
      <x:c r="G167" s="40" t="n">
        <x:v>-4.871914</x:v>
      </x:c>
      <x:c r="H167" s="40" t="n">
        <x:v>-80.723052</x:v>
      </x:c>
      <x:c r="I167" s="39" t="str">
        <x:v>Sullana</x:v>
      </x:c>
      <x:c r="J167" s="39" t="str">
        <x:v>Sullana</x:v>
      </x:c>
      <x:c r="K167" s="39" t="str">
        <x:v>AG04</x:v>
      </x:c>
      <x:c r="L167" s="39" t="str">
        <x:v>Mibanco Sullana</x:v>
      </x:c>
      <x:c r="M167" s="41" t="n">
        <x:v>4.42</x:v>
      </x:c>
      <x:c r="N167" s="42" t="n">
        <x:v>46291</x:v>
      </x:c>
      <x:c r="O167" s="43" t="n">
        <x:v>0.3541666666666667</x:v>
      </x:c>
      <x:c r="P167" s="43" t="n">
        <x:v>0.3958333333333333</x:v>
      </x:c>
      <x:c r="Q167" s="39" t="n">
        <x:v>40</x:v>
      </x:c>
      <x:c r="R167" s="44" t="n">
        <x:v>0</x:v>
      </x:c>
      <x:c r="S167" s="39" t="str">
        <x:v>No aplica</x:v>
      </x:c>
      <x:c r="T167" s="45" t="n">
        <x:v>0</x:v>
      </x:c>
      <x:c r="U167" s="39" t="n">
        <x:v>28</x:v>
      </x:c>
      <x:c r="V167" s="44" t="n">
        <x:v>19200</x:v>
      </x:c>
      <x:c r="W167" s="39" t="str">
        <x:v>No</x:v>
      </x:c>
      <x:c r="X167" s="42"/>
      <x:c r="Y167" s="39" t="str">
        <x:v>Sin compromiso</x:v>
      </x:c>
      <x:c r="Z167" s="39" t="n">
        <x:v>4</x:v>
      </x:c>
      <x:c r="AA167" s="39" t="str">
        <x:v>Respondió</x:v>
      </x:c>
      <x:c r="AB167" s="39" t="str">
        <x:v>No</x:v>
      </x:c>
      <x:c r="AC167" s="39" t="str">
        <x:v>No</x:v>
      </x:c>
      <x:c r="AD167" s="46" t="n">
        <x:f>IF(C167="COMERCIAL",IF(AC167="Sí",40,0)+IF(D167="Recurrente",15,0)+IF(S167="Alto",25,IF(S167="Medio",12,0))+IF(R167&gt;=30000,20,IF(R167&gt;=10000,12,IF(R167&gt;=5000,6,0)))+IF(N167&lt;=Metadatos!$B$13+1,25,0)+IF(AB167="Sí",15,0)+IF(AA167="No responde",-10,0),IF(Y167="Incumplido",40,0)+IF(AND(W167="Sí",X167=Metadatos!$B$13),35,0)+IF(V167&gt;=20000,25,IF(V167&gt;=10000,18,IF(V167&gt;=5000,10,0)))+IF(U167&gt;=15,25,IF(U167&gt;=6,20,IF(U167&gt;=3,10,0)))+IF(Z167&gt;=3,20,IF(Z167&gt;=2,10,0))+IF(AA167="Respondió",-10,0)+IF(AND(Y167="Vigente",X167&gt;Metadatos!$B$13),-10,0))</x:f>
        <x:v>53</x:v>
      </x:c>
      <x:c r="AE167" s="39" t="str">
        <x:f>IF(AD167&gt;=70,"P1",IF(AD167&gt;=50,"P2",IF(AD167&gt;=30,"P3","P4")))</x:f>
        <x:v>P2</x:v>
      </x:c>
      <x:c r="AF167" s="39" t="str">
        <x:v>Mora elevada y saldo alto</x:v>
      </x:c>
      <x:c r="AG167" s="39" t="str">
        <x:v>Pendiente</x:v>
      </x:c>
      <x:c r="AH167" s="39" t="str">
        <x:v>https://www.google.com/maps?q=-4.871914,-80.723052</x:v>
      </x:c>
      <x:c r="AI167" s="39" t="str">
        <x:v>SINTÉTICO</x:v>
      </x:c>
    </x:row>
    <x:row r="168">
      <x:c r="A168" s="39" t="str">
        <x:v>CLI-167</x:v>
      </x:c>
      <x:c r="B168" s="39" t="str">
        <x:v>Cliente 167</x:v>
      </x:c>
      <x:c r="C168" s="39" t="str">
        <x:v>COMERCIAL</x:v>
      </x:c>
      <x:c r="D168" s="39" t="str">
        <x:v>Recurrente</x:v>
      </x:c>
      <x:c r="E168" s="39" t="str">
        <x:v>Crédito para negocio</x:v>
      </x:c>
      <x:c r="F168" s="39" t="str">
        <x:v>Contactado</x:v>
      </x:c>
      <x:c r="G168" s="40" t="n">
        <x:v>-4.889239</x:v>
      </x:c>
      <x:c r="H168" s="40" t="n">
        <x:v>-80.687026</x:v>
      </x:c>
      <x:c r="I168" s="39" t="str">
        <x:v>Sullana</x:v>
      </x:c>
      <x:c r="J168" s="39" t="str">
        <x:v>Sullana</x:v>
      </x:c>
      <x:c r="K168" s="39" t="str">
        <x:v>AG04</x:v>
      </x:c>
      <x:c r="L168" s="39" t="str">
        <x:v>Mibanco Sullana</x:v>
      </x:c>
      <x:c r="M168" s="41" t="n">
        <x:v>0.31</x:v>
      </x:c>
      <x:c r="N168" s="42" t="n">
        <x:v>46295</x:v>
      </x:c>
      <x:c r="O168" s="43" t="n">
        <x:v>0.5416666666666666</x:v>
      </x:c>
      <x:c r="P168" s="43" t="n">
        <x:v>0.625</x:v>
      </x:c>
      <x:c r="Q168" s="39" t="n">
        <x:v>25</x:v>
      </x:c>
      <x:c r="R168" s="44" t="n">
        <x:v>40500</x:v>
      </x:c>
      <x:c r="S168" s="39" t="str">
        <x:v>Bajo</x:v>
      </x:c>
      <x:c r="T168" s="45" t="n">
        <x:v>0.23</x:v>
      </x:c>
      <x:c r="U168" s="39" t="n">
        <x:v>0</x:v>
      </x:c>
      <x:c r="V168" s="44" t="n">
        <x:v>0</x:v>
      </x:c>
      <x:c r="W168" s="39" t="str">
        <x:v>No</x:v>
      </x:c>
      <x:c r="X168" s="42"/>
      <x:c r="Y168" s="39" t="str">
        <x:v>No aplica</x:v>
      </x:c>
      <x:c r="Z168" s="39" t="n">
        <x:v>0</x:v>
      </x:c>
      <x:c r="AA168" s="39" t="str">
        <x:v>Respondió</x:v>
      </x:c>
      <x:c r="AB168" s="39" t="str">
        <x:v>No</x:v>
      </x:c>
      <x:c r="AC168" s="39" t="str">
        <x:v>No</x:v>
      </x:c>
      <x:c r="AD168" s="46" t="n">
        <x:f>IF(C168="COMERCIAL",IF(AC168="Sí",40,0)+IF(D168="Recurrente",15,0)+IF(S168="Alto",25,IF(S168="Medio",12,0))+IF(R168&gt;=30000,20,IF(R168&gt;=10000,12,IF(R168&gt;=5000,6,0)))+IF(N168&lt;=Metadatos!$B$13+1,25,0)+IF(AB168="Sí",15,0)+IF(AA168="No responde",-10,0),IF(Y168="Incumplido",40,0)+IF(AND(W168="Sí",X168=Metadatos!$B$13),35,0)+IF(V168&gt;=20000,25,IF(V168&gt;=10000,18,IF(V168&gt;=5000,10,0)))+IF(U168&gt;=15,25,IF(U168&gt;=6,20,IF(U168&gt;=3,10,0)))+IF(Z168&gt;=3,20,IF(Z168&gt;=2,10,0))+IF(AA168="Respondió",-10,0)+IF(AND(Y168="Vigente",X168&gt;Metadatos!$B$13),-10,0))</x:f>
        <x:v>35</x:v>
      </x:c>
      <x:c r="AE168" s="39" t="str">
        <x:f>IF(AD168&gt;=70,"P1",IF(AD168&gt;=50,"P2",IF(AD168&gt;=30,"P3","P4")))</x:f>
        <x:v>P3</x:v>
      </x:c>
      <x:c r="AF168" s="39" t="str">
        <x:v>Prospecto sin urgencia inmediata</x:v>
      </x:c>
      <x:c r="AG168" s="39" t="str">
        <x:v>Programada</x:v>
      </x:c>
      <x:c r="AH168" s="39" t="str">
        <x:v>https://www.google.com/maps?q=-4.889239,-80.687026</x:v>
      </x:c>
      <x:c r="AI168" s="39" t="str">
        <x:v>SINTÉTICO</x:v>
      </x:c>
    </x:row>
    <x:row r="169">
      <x:c r="A169" s="39" t="str">
        <x:v>CLI-168</x:v>
      </x:c>
      <x:c r="B169" s="39" t="str">
        <x:v>Cliente 168</x:v>
      </x:c>
      <x:c r="C169" s="39" t="str">
        <x:v>COBRANZA</x:v>
      </x:c>
      <x:c r="D169" s="39" t="str">
        <x:v>Deudor</x:v>
      </x:c>
      <x:c r="E169" s="39" t="str">
        <x:v>Cobranza de crédito</x:v>
      </x:c>
      <x:c r="F169" s="39" t="str">
        <x:v>Recuperación</x:v>
      </x:c>
      <x:c r="G169" s="40" t="n">
        <x:v>-4.884688</x:v>
      </x:c>
      <x:c r="H169" s="40" t="n">
        <x:v>-80.702805</x:v>
      </x:c>
      <x:c r="I169" s="39" t="str">
        <x:v>Sullana</x:v>
      </x:c>
      <x:c r="J169" s="39" t="str">
        <x:v>Sullana</x:v>
      </x:c>
      <x:c r="K169" s="39" t="str">
        <x:v>AG04</x:v>
      </x:c>
      <x:c r="L169" s="39" t="str">
        <x:v>Mibanco Sullana</x:v>
      </x:c>
      <x:c r="M169" s="41" t="n">
        <x:v>1.77</x:v>
      </x:c>
      <x:c r="N169" s="42" t="n">
        <x:v>46291</x:v>
      </x:c>
      <x:c r="O169" s="43" t="n">
        <x:v>0.4166666666666667</x:v>
      </x:c>
      <x:c r="P169" s="43" t="n">
        <x:v>0.4791666666666667</x:v>
      </x:c>
      <x:c r="Q169" s="39" t="n">
        <x:v>50</x:v>
      </x:c>
      <x:c r="R169" s="44" t="n">
        <x:v>0</x:v>
      </x:c>
      <x:c r="S169" s="39" t="str">
        <x:v>No aplica</x:v>
      </x:c>
      <x:c r="T169" s="45" t="n">
        <x:v>0</x:v>
      </x:c>
      <x:c r="U169" s="39" t="n">
        <x:v>1</x:v>
      </x:c>
      <x:c r="V169" s="44" t="n">
        <x:v>26100</x:v>
      </x:c>
      <x:c r="W169" s="39" t="str">
        <x:v>No</x:v>
      </x:c>
      <x:c r="X169" s="42"/>
      <x:c r="Y169" s="39" t="str">
        <x:v>Sin compromiso</x:v>
      </x:c>
      <x:c r="Z169" s="39" t="n">
        <x:v>3</x:v>
      </x:c>
      <x:c r="AA169" s="39" t="str">
        <x:v>No responde</x:v>
      </x:c>
      <x:c r="AB169" s="39" t="str">
        <x:v>No</x:v>
      </x:c>
      <x:c r="AC169" s="39" t="str">
        <x:v>No</x:v>
      </x:c>
      <x:c r="AD169" s="46" t="n">
        <x:f>IF(C169="COMERCIAL",IF(AC169="Sí",40,0)+IF(D169="Recurrente",15,0)+IF(S169="Alto",25,IF(S169="Medio",12,0))+IF(R169&gt;=30000,20,IF(R169&gt;=10000,12,IF(R169&gt;=5000,6,0)))+IF(N169&lt;=Metadatos!$B$13+1,25,0)+IF(AB169="Sí",15,0)+IF(AA169="No responde",-10,0),IF(Y169="Incumplido",40,0)+IF(AND(W169="Sí",X169=Metadatos!$B$13),35,0)+IF(V169&gt;=20000,25,IF(V169&gt;=10000,18,IF(V169&gt;=5000,10,0)))+IF(U169&gt;=15,25,IF(U169&gt;=6,20,IF(U169&gt;=3,10,0)))+IF(Z169&gt;=3,20,IF(Z169&gt;=2,10,0))+IF(AA169="Respondió",-10,0)+IF(AND(Y169="Vigente",X169&gt;Metadatos!$B$13),-10,0))</x:f>
        <x:v>45</x:v>
      </x:c>
      <x:c r="AE169" s="39" t="str">
        <x:f>IF(AD169&gt;=70,"P1",IF(AD169&gt;=50,"P2",IF(AD169&gt;=30,"P3","P4")))</x:f>
        <x:v>P3</x:v>
      </x:c>
      <x:c r="AF169" s="39" t="str">
        <x:v>Varios intentos sin respuesta</x:v>
      </x:c>
      <x:c r="AG169" s="39" t="str">
        <x:v>Pendiente</x:v>
      </x:c>
      <x:c r="AH169" s="39" t="str">
        <x:v>https://www.google.com/maps?q=-4.884688,-80.702805</x:v>
      </x:c>
      <x:c r="AI169" s="39" t="str">
        <x:v>SINTÉTICO</x:v>
      </x:c>
    </x:row>
    <x:row r="170">
      <x:c r="A170" s="39" t="str">
        <x:v>CLI-169</x:v>
      </x:c>
      <x:c r="B170" s="39" t="str">
        <x:v>Cliente 169</x:v>
      </x:c>
      <x:c r="C170" s="39" t="str">
        <x:v>COMERCIAL</x:v>
      </x:c>
      <x:c r="D170" s="39" t="str">
        <x:v>Recurrente</x:v>
      </x:c>
      <x:c r="E170" s="39" t="str">
        <x:v>Ahorro</x:v>
      </x:c>
      <x:c r="F170" s="39" t="str">
        <x:v>Evaluación</x:v>
      </x:c>
      <x:c r="G170" s="40" t="n">
        <x:v>-4.896761</x:v>
      </x:c>
      <x:c r="H170" s="40" t="n">
        <x:v>-80.706441</x:v>
      </x:c>
      <x:c r="I170" s="39" t="str">
        <x:v>Sullana</x:v>
      </x:c>
      <x:c r="J170" s="39" t="str">
        <x:v>Sullana</x:v>
      </x:c>
      <x:c r="K170" s="39" t="str">
        <x:v>AG04</x:v>
      </x:c>
      <x:c r="L170" s="39" t="str">
        <x:v>Mibanco Sullana</x:v>
      </x:c>
      <x:c r="M170" s="41" t="n">
        <x:v>2.08</x:v>
      </x:c>
      <x:c r="N170" s="42" t="n">
        <x:v>46293</x:v>
      </x:c>
      <x:c r="O170" s="43" t="n">
        <x:v>0.5</x:v>
      </x:c>
      <x:c r="P170" s="43" t="n">
        <x:v>0.5416666666666666</x:v>
      </x:c>
      <x:c r="Q170" s="39" t="n">
        <x:v>50</x:v>
      </x:c>
      <x:c r="R170" s="44" t="n">
        <x:v>44100</x:v>
      </x:c>
      <x:c r="S170" s="39" t="str">
        <x:v>Alto</x:v>
      </x:c>
      <x:c r="T170" s="45" t="n">
        <x:v>0.94</x:v>
      </x:c>
      <x:c r="U170" s="39" t="n">
        <x:v>0</x:v>
      </x:c>
      <x:c r="V170" s="44" t="n">
        <x:v>0</x:v>
      </x:c>
      <x:c r="W170" s="39" t="str">
        <x:v>No</x:v>
      </x:c>
      <x:c r="X170" s="42"/>
      <x:c r="Y170" s="39" t="str">
        <x:v>No aplica</x:v>
      </x:c>
      <x:c r="Z170" s="39" t="n">
        <x:v>0</x:v>
      </x:c>
      <x:c r="AA170" s="39" t="str">
        <x:v>Respondió</x:v>
      </x:c>
      <x:c r="AB170" s="39" t="str">
        <x:v>Sí</x:v>
      </x:c>
      <x:c r="AC170" s="39" t="str">
        <x:v>No</x:v>
      </x:c>
      <x:c r="AD170" s="46" t="n">
        <x:f>IF(C170="COMERCIAL",IF(AC170="Sí",40,0)+IF(D170="Recurrente",15,0)+IF(S170="Alto",25,IF(S170="Medio",12,0))+IF(R170&gt;=30000,20,IF(R170&gt;=10000,12,IF(R170&gt;=5000,6,0)))+IF(N170&lt;=Metadatos!$B$13+1,25,0)+IF(AB170="Sí",15,0)+IF(AA170="No responde",-10,0),IF(Y170="Incumplido",40,0)+IF(AND(W170="Sí",X170=Metadatos!$B$13),35,0)+IF(V170&gt;=20000,25,IF(V170&gt;=10000,18,IF(V170&gt;=5000,10,0)))+IF(U170&gt;=15,25,IF(U170&gt;=6,20,IF(U170&gt;=3,10,0)))+IF(Z170&gt;=3,20,IF(Z170&gt;=2,10,0))+IF(AA170="Respondió",-10,0)+IF(AND(Y170="Vigente",X170&gt;Metadatos!$B$13),-10,0))</x:f>
        <x:v>75</x:v>
      </x:c>
      <x:c r="AE170" s="39" t="str">
        <x:f>IF(AD170&gt;=70,"P1",IF(AD170&gt;=50,"P2",IF(AD170&gt;=30,"P3","P4")))</x:f>
        <x:v>P1</x:v>
      </x:c>
      <x:c r="AF170" s="39" t="str">
        <x:v>Interés alto y monto comercial alto</x:v>
      </x:c>
      <x:c r="AG170" s="39" t="str">
        <x:v>Pendiente</x:v>
      </x:c>
      <x:c r="AH170" s="39" t="str">
        <x:v>https://www.google.com/maps?q=-4.896761,-80.706441</x:v>
      </x:c>
      <x:c r="AI170" s="39" t="str">
        <x:v>SINTÉTICO</x:v>
      </x:c>
    </x:row>
    <x:row r="171">
      <x:c r="A171" s="39" t="str">
        <x:v>CLI-170</x:v>
      </x:c>
      <x:c r="B171" s="39" t="str">
        <x:v>Cliente 170</x:v>
      </x:c>
      <x:c r="C171" s="39" t="str">
        <x:v>COBRANZA</x:v>
      </x:c>
      <x:c r="D171" s="39" t="str">
        <x:v>Deudor</x:v>
      </x:c>
      <x:c r="E171" s="39" t="str">
        <x:v>Cobranza de crédito</x:v>
      </x:c>
      <x:c r="F171" s="39" t="str">
        <x:v>Recuperación</x:v>
      </x:c>
      <x:c r="G171" s="40" t="n">
        <x:v>-4.890436</x:v>
      </x:c>
      <x:c r="H171" s="40" t="n">
        <x:v>-80.727604</x:v>
      </x:c>
      <x:c r="I171" s="39" t="str">
        <x:v>Sullana</x:v>
      </x:c>
      <x:c r="J171" s="39" t="str">
        <x:v>Sullana</x:v>
      </x:c>
      <x:c r="K171" s="39" t="str">
        <x:v>AG04</x:v>
      </x:c>
      <x:c r="L171" s="39" t="str">
        <x:v>Mibanco Sullana</x:v>
      </x:c>
      <x:c r="M171" s="41" t="n">
        <x:v>4.35</x:v>
      </x:c>
      <x:c r="N171" s="42" t="n">
        <x:v>46292</x:v>
      </x:c>
      <x:c r="O171" s="43" t="n">
        <x:v>0.5</x:v>
      </x:c>
      <x:c r="P171" s="43" t="n">
        <x:v>0.5625</x:v>
      </x:c>
      <x:c r="Q171" s="39" t="n">
        <x:v>35</x:v>
      </x:c>
      <x:c r="R171" s="44" t="n">
        <x:v>0</x:v>
      </x:c>
      <x:c r="S171" s="39" t="str">
        <x:v>No aplica</x:v>
      </x:c>
      <x:c r="T171" s="45" t="n">
        <x:v>0</x:v>
      </x:c>
      <x:c r="U171" s="39" t="n">
        <x:v>5</x:v>
      </x:c>
      <x:c r="V171" s="44" t="n">
        <x:v>10200</x:v>
      </x:c>
      <x:c r="W171" s="39" t="str">
        <x:v>Sí</x:v>
      </x:c>
      <x:c r="X171" s="42" t="n">
        <x:v>46294</x:v>
      </x:c>
      <x:c r="Y171" s="39" t="str">
        <x:v>Vigente</x:v>
      </x:c>
      <x:c r="Z171" s="39" t="n">
        <x:v>2</x:v>
      </x:c>
      <x:c r="AA171" s="39" t="str">
        <x:v>No responde</x:v>
      </x:c>
      <x:c r="AB171" s="39" t="str">
        <x:v>No</x:v>
      </x:c>
      <x:c r="AC171" s="39" t="str">
        <x:v>No</x:v>
      </x:c>
      <x:c r="AD171" s="46" t="n">
        <x:f>IF(C171="COMERCIAL",IF(AC171="Sí",40,0)+IF(D171="Recurrente",15,0)+IF(S171="Alto",25,IF(S171="Medio",12,0))+IF(R171&gt;=30000,20,IF(R171&gt;=10000,12,IF(R171&gt;=5000,6,0)))+IF(N171&lt;=Metadatos!$B$13+1,25,0)+IF(AB171="Sí",15,0)+IF(AA171="No responde",-10,0),IF(Y171="Incumplido",40,0)+IF(AND(W171="Sí",X171=Metadatos!$B$13),35,0)+IF(V171&gt;=20000,25,IF(V171&gt;=10000,18,IF(V171&gt;=5000,10,0)))+IF(U171&gt;=15,25,IF(U171&gt;=6,20,IF(U171&gt;=3,10,0)))+IF(Z171&gt;=3,20,IF(Z171&gt;=2,10,0))+IF(AA171="Respondió",-10,0)+IF(AND(Y171="Vigente",X171&gt;Metadatos!$B$13),-10,0))</x:f>
        <x:v>28</x:v>
      </x:c>
      <x:c r="AE171" s="39" t="str">
        <x:f>IF(AD171&gt;=70,"P1",IF(AD171&gt;=50,"P2",IF(AD171&gt;=30,"P3","P4")))</x:f>
        <x:v>P4</x:v>
      </x:c>
      <x:c r="AF171" s="39" t="str">
        <x:v>Mora reciente con seguimiento programable</x:v>
      </x:c>
      <x:c r="AG171" s="39" t="str">
        <x:v>Programada</x:v>
      </x:c>
      <x:c r="AH171" s="39" t="str">
        <x:v>https://www.google.com/maps?q=-4.890436,-80.727604</x:v>
      </x:c>
      <x:c r="AI171" s="39" t="str">
        <x:v>SINTÉTICO</x:v>
      </x:c>
    </x:row>
    <x:row r="172">
      <x:c r="A172" s="39" t="str">
        <x:v>CLI-171</x:v>
      </x:c>
      <x:c r="B172" s="39" t="str">
        <x:v>Cliente 171</x:v>
      </x:c>
      <x:c r="C172" s="39" t="str">
        <x:v>COMERCIAL</x:v>
      </x:c>
      <x:c r="D172" s="39" t="str">
        <x:v>Nuevo</x:v>
      </x:c>
      <x:c r="E172" s="39" t="str">
        <x:v>Crédito personal</x:v>
      </x:c>
      <x:c r="F172" s="39" t="str">
        <x:v>Evaluación</x:v>
      </x:c>
      <x:c r="G172" s="40" t="n">
        <x:v>-4.61449</x:v>
      </x:c>
      <x:c r="H172" s="40" t="n">
        <x:v>-81.277265</x:v>
      </x:c>
      <x:c r="I172" s="39" t="str">
        <x:v>Pariñas</x:v>
      </x:c>
      <x:c r="J172" s="39" t="str">
        <x:v>Talara</x:v>
      </x:c>
      <x:c r="K172" s="39" t="str">
        <x:v>AG05</x:v>
      </x:c>
      <x:c r="L172" s="39" t="str">
        <x:v>Mibanco Talara</x:v>
      </x:c>
      <x:c r="M172" s="41" t="n">
        <x:v>3.92</x:v>
      </x:c>
      <x:c r="N172" s="42" t="n">
        <x:v>46292</x:v>
      </x:c>
      <x:c r="O172" s="43" t="n">
        <x:v>0.4583333333333333</x:v>
      </x:c>
      <x:c r="P172" s="43" t="n">
        <x:v>0.5416666666666666</x:v>
      </x:c>
      <x:c r="Q172" s="39" t="n">
        <x:v>40</x:v>
      </x:c>
      <x:c r="R172" s="44" t="n">
        <x:v>48500</x:v>
      </x:c>
      <x:c r="S172" s="39" t="str">
        <x:v>Medio</x:v>
      </x:c>
      <x:c r="T172" s="45" t="n">
        <x:v>0.63</x:v>
      </x:c>
      <x:c r="U172" s="39" t="n">
        <x:v>0</x:v>
      </x:c>
      <x:c r="V172" s="44" t="n">
        <x:v>0</x:v>
      </x:c>
      <x:c r="W172" s="39" t="str">
        <x:v>No</x:v>
      </x:c>
      <x:c r="X172" s="42"/>
      <x:c r="Y172" s="39" t="str">
        <x:v>No aplica</x:v>
      </x:c>
      <x:c r="Z172" s="39" t="n">
        <x:v>0</x:v>
      </x:c>
      <x:c r="AA172" s="39" t="str">
        <x:v>Respondió</x:v>
      </x:c>
      <x:c r="AB172" s="39" t="str">
        <x:v>No</x:v>
      </x:c>
      <x:c r="AC172" s="39" t="str">
        <x:v>No</x:v>
      </x:c>
      <x:c r="AD172" s="46" t="n">
        <x:f>IF(C172="COMERCIAL",IF(AC172="Sí",40,0)+IF(D172="Recurrente",15,0)+IF(S172="Alto",25,IF(S172="Medio",12,0))+IF(R172&gt;=30000,20,IF(R172&gt;=10000,12,IF(R172&gt;=5000,6,0)))+IF(N172&lt;=Metadatos!$B$13+1,25,0)+IF(AB172="Sí",15,0)+IF(AA172="No responde",-10,0),IF(Y172="Incumplido",40,0)+IF(AND(W172="Sí",X172=Metadatos!$B$13),35,0)+IF(V172&gt;=20000,25,IF(V172&gt;=10000,18,IF(V172&gt;=5000,10,0)))+IF(U172&gt;=15,25,IF(U172&gt;=6,20,IF(U172&gt;=3,10,0)))+IF(Z172&gt;=3,20,IF(Z172&gt;=2,10,0))+IF(AA172="Respondió",-10,0)+IF(AND(Y172="Vigente",X172&gt;Metadatos!$B$13),-10,0))</x:f>
        <x:v>57</x:v>
      </x:c>
      <x:c r="AE172" s="39" t="str">
        <x:f>IF(AD172&gt;=70,"P1",IF(AD172&gt;=50,"P2",IF(AD172&gt;=30,"P3","P4")))</x:f>
        <x:v>P2</x:v>
      </x:c>
      <x:c r="AF172" s="39" t="str">
        <x:v>Interés medio; requiere seguimiento</x:v>
      </x:c>
      <x:c r="AG172" s="39" t="str">
        <x:v>Pendiente</x:v>
      </x:c>
      <x:c r="AH172" s="39" t="str">
        <x:v>https://www.google.com/maps?q=-4.614490,-81.277265</x:v>
      </x:c>
      <x:c r="AI172" s="39" t="str">
        <x:v>SINTÉTICO</x:v>
      </x:c>
    </x:row>
    <x:row r="173">
      <x:c r="A173" s="39" t="str">
        <x:v>CLI-172</x:v>
      </x:c>
      <x:c r="B173" s="39" t="str">
        <x:v>Cliente 172</x:v>
      </x:c>
      <x:c r="C173" s="39" t="str">
        <x:v>COBRANZA</x:v>
      </x:c>
      <x:c r="D173" s="39" t="str">
        <x:v>Deudor</x:v>
      </x:c>
      <x:c r="E173" s="39" t="str">
        <x:v>Cobranza de crédito</x:v>
      </x:c>
      <x:c r="F173" s="39" t="str">
        <x:v>Recuperación</x:v>
      </x:c>
      <x:c r="G173" s="40" t="n">
        <x:v>-4.615557</x:v>
      </x:c>
      <x:c r="H173" s="40" t="n">
        <x:v>-81.271905</x:v>
      </x:c>
      <x:c r="I173" s="39" t="str">
        <x:v>Pariñas</x:v>
      </x:c>
      <x:c r="J173" s="39" t="str">
        <x:v>Talara</x:v>
      </x:c>
      <x:c r="K173" s="39" t="str">
        <x:v>AG05</x:v>
      </x:c>
      <x:c r="L173" s="39" t="str">
        <x:v>Mibanco Talara</x:v>
      </x:c>
      <x:c r="M173" s="41" t="n">
        <x:v>3.99</x:v>
      </x:c>
      <x:c r="N173" s="42" t="n">
        <x:v>46294</x:v>
      </x:c>
      <x:c r="O173" s="43" t="n">
        <x:v>0.3333333333333333</x:v>
      </x:c>
      <x:c r="P173" s="43" t="n">
        <x:v>0.3958333333333333</x:v>
      </x:c>
      <x:c r="Q173" s="39" t="n">
        <x:v>60</x:v>
      </x:c>
      <x:c r="R173" s="44" t="n">
        <x:v>0</x:v>
      </x:c>
      <x:c r="S173" s="39" t="str">
        <x:v>No aplica</x:v>
      </x:c>
      <x:c r="T173" s="45" t="n">
        <x:v>0</x:v>
      </x:c>
      <x:c r="U173" s="39" t="n">
        <x:v>8</x:v>
      </x:c>
      <x:c r="V173" s="44" t="n">
        <x:v>13000</x:v>
      </x:c>
      <x:c r="W173" s="39" t="str">
        <x:v>No</x:v>
      </x:c>
      <x:c r="X173" s="42"/>
      <x:c r="Y173" s="39" t="str">
        <x:v>Sin compromiso</x:v>
      </x:c>
      <x:c r="Z173" s="39" t="n">
        <x:v>3</x:v>
      </x:c>
      <x:c r="AA173" s="39" t="str">
        <x:v>Respondió</x:v>
      </x:c>
      <x:c r="AB173" s="39" t="str">
        <x:v>No</x:v>
      </x:c>
      <x:c r="AC173" s="39" t="str">
        <x:v>No</x:v>
      </x:c>
      <x:c r="AD173" s="46" t="n">
        <x:f>IF(C173="COMERCIAL",IF(AC173="Sí",40,0)+IF(D173="Recurrente",15,0)+IF(S173="Alto",25,IF(S173="Medio",12,0))+IF(R173&gt;=30000,20,IF(R173&gt;=10000,12,IF(R173&gt;=5000,6,0)))+IF(N173&lt;=Metadatos!$B$13+1,25,0)+IF(AB173="Sí",15,0)+IF(AA173="No responde",-10,0),IF(Y173="Incumplido",40,0)+IF(AND(W173="Sí",X173=Metadatos!$B$13),35,0)+IF(V173&gt;=20000,25,IF(V173&gt;=10000,18,IF(V173&gt;=5000,10,0)))+IF(U173&gt;=15,25,IF(U173&gt;=6,20,IF(U173&gt;=3,10,0)))+IF(Z173&gt;=3,20,IF(Z173&gt;=2,10,0))+IF(AA173="Respondió",-10,0)+IF(AND(Y173="Vigente",X173&gt;Metadatos!$B$13),-10,0))</x:f>
        <x:v>48</x:v>
      </x:c>
      <x:c r="AE173" s="39" t="str">
        <x:f>IF(AD173&gt;=70,"P1",IF(AD173&gt;=50,"P2",IF(AD173&gt;=30,"P3","P4")))</x:f>
        <x:v>P3</x:v>
      </x:c>
      <x:c r="AF173" s="39" t="str">
        <x:v>Varios intentos sin respuesta</x:v>
      </x:c>
      <x:c r="AG173" s="39" t="str">
        <x:v>Pendiente</x:v>
      </x:c>
      <x:c r="AH173" s="39" t="str">
        <x:v>https://www.google.com/maps?q=-4.615557,-81.271905</x:v>
      </x:c>
      <x:c r="AI173" s="39" t="str">
        <x:v>SINTÉTICO</x:v>
      </x:c>
    </x:row>
    <x:row r="174">
      <x:c r="A174" s="39" t="str">
        <x:v>CLI-173</x:v>
      </x:c>
      <x:c r="B174" s="39" t="str">
        <x:v>Cliente 173</x:v>
      </x:c>
      <x:c r="C174" s="39" t="str">
        <x:v>COMERCIAL</x:v>
      </x:c>
      <x:c r="D174" s="39" t="str">
        <x:v>Nuevo</x:v>
      </x:c>
      <x:c r="E174" s="39" t="str">
        <x:v>Seguro</x:v>
      </x:c>
      <x:c r="F174" s="39" t="str">
        <x:v>Negociación</x:v>
      </x:c>
      <x:c r="G174" s="40" t="n">
        <x:v>-4.593293</x:v>
      </x:c>
      <x:c r="H174" s="40" t="n">
        <x:v>-81.27887</x:v>
      </x:c>
      <x:c r="I174" s="39" t="str">
        <x:v>Pariñas</x:v>
      </x:c>
      <x:c r="J174" s="39" t="str">
        <x:v>Talara</x:v>
      </x:c>
      <x:c r="K174" s="39" t="str">
        <x:v>AG05</x:v>
      </x:c>
      <x:c r="L174" s="39" t="str">
        <x:v>Mibanco Talara</x:v>
      </x:c>
      <x:c r="M174" s="41" t="n">
        <x:v>1.72</x:v>
      </x:c>
      <x:c r="N174" s="42" t="n">
        <x:v>46294</x:v>
      </x:c>
      <x:c r="O174" s="43" t="n">
        <x:v>0.4166666666666667</x:v>
      </x:c>
      <x:c r="P174" s="43" t="n">
        <x:v>0.4791666666666667</x:v>
      </x:c>
      <x:c r="Q174" s="39" t="n">
        <x:v>60</x:v>
      </x:c>
      <x:c r="R174" s="44" t="n">
        <x:v>45600</x:v>
      </x:c>
      <x:c r="S174" s="39" t="str">
        <x:v>Medio</x:v>
      </x:c>
      <x:c r="T174" s="45" t="n">
        <x:v>0.65</x:v>
      </x:c>
      <x:c r="U174" s="39" t="n">
        <x:v>0</x:v>
      </x:c>
      <x:c r="V174" s="44" t="n">
        <x:v>0</x:v>
      </x:c>
      <x:c r="W174" s="39" t="str">
        <x:v>No</x:v>
      </x:c>
      <x:c r="X174" s="42"/>
      <x:c r="Y174" s="39" t="str">
        <x:v>No aplica</x:v>
      </x:c>
      <x:c r="Z174" s="39" t="n">
        <x:v>0</x:v>
      </x:c>
      <x:c r="AA174" s="39" t="str">
        <x:v>Respondió</x:v>
      </x:c>
      <x:c r="AB174" s="39" t="str">
        <x:v>Sí</x:v>
      </x:c>
      <x:c r="AC174" s="39" t="str">
        <x:v>No</x:v>
      </x:c>
      <x:c r="AD174" s="46" t="n">
        <x:f>IF(C174="COMERCIAL",IF(AC174="Sí",40,0)+IF(D174="Recurrente",15,0)+IF(S174="Alto",25,IF(S174="Medio",12,0))+IF(R174&gt;=30000,20,IF(R174&gt;=10000,12,IF(R174&gt;=5000,6,0)))+IF(N174&lt;=Metadatos!$B$13+1,25,0)+IF(AB174="Sí",15,0)+IF(AA174="No responde",-10,0),IF(Y174="Incumplido",40,0)+IF(AND(W174="Sí",X174=Metadatos!$B$13),35,0)+IF(V174&gt;=20000,25,IF(V174&gt;=10000,18,IF(V174&gt;=5000,10,0)))+IF(U174&gt;=15,25,IF(U174&gt;=6,20,IF(U174&gt;=3,10,0)))+IF(Z174&gt;=3,20,IF(Z174&gt;=2,10,0))+IF(AA174="Respondió",-10,0)+IF(AND(Y174="Vigente",X174&gt;Metadatos!$B$13),-10,0))</x:f>
        <x:v>47</x:v>
      </x:c>
      <x:c r="AE174" s="39" t="str">
        <x:f>IF(AD174&gt;=70,"P1",IF(AD174&gt;=50,"P2",IF(AD174&gt;=30,"P3","P4")))</x:f>
        <x:v>P3</x:v>
      </x:c>
      <x:c r="AF174" s="39" t="str">
        <x:v>Interés medio; requiere seguimiento</x:v>
      </x:c>
      <x:c r="AG174" s="39" t="str">
        <x:v>Pendiente</x:v>
      </x:c>
      <x:c r="AH174" s="39" t="str">
        <x:v>https://www.google.com/maps?q=-4.593293,-81.278870</x:v>
      </x:c>
      <x:c r="AI174" s="39" t="str">
        <x:v>SINTÉTICO</x:v>
      </x:c>
    </x:row>
    <x:row r="175">
      <x:c r="A175" s="39" t="str">
        <x:v>CLI-174</x:v>
      </x:c>
      <x:c r="B175" s="39" t="str">
        <x:v>Cliente 174</x:v>
      </x:c>
      <x:c r="C175" s="39" t="str">
        <x:v>COBRANZA</x:v>
      </x:c>
      <x:c r="D175" s="39" t="str">
        <x:v>Deudor</x:v>
      </x:c>
      <x:c r="E175" s="39" t="str">
        <x:v>Cobranza de crédito</x:v>
      </x:c>
      <x:c r="F175" s="39" t="str">
        <x:v>Recuperación</x:v>
      </x:c>
      <x:c r="G175" s="40" t="n">
        <x:v>-4.556099</x:v>
      </x:c>
      <x:c r="H175" s="40" t="n">
        <x:v>-81.299609</x:v>
      </x:c>
      <x:c r="I175" s="39" t="str">
        <x:v>Pariñas</x:v>
      </x:c>
      <x:c r="J175" s="39" t="str">
        <x:v>Talara</x:v>
      </x:c>
      <x:c r="K175" s="39" t="str">
        <x:v>AG05</x:v>
      </x:c>
      <x:c r="L175" s="39" t="str">
        <x:v>Mibanco Talara</x:v>
      </x:c>
      <x:c r="M175" s="41" t="n">
        <x:v>4.09</x:v>
      </x:c>
      <x:c r="N175" s="42" t="n">
        <x:v>46293</x:v>
      </x:c>
      <x:c r="O175" s="43" t="n">
        <x:v>0.3958333333333333</x:v>
      </x:c>
      <x:c r="P175" s="43" t="n">
        <x:v>0.4375</x:v>
      </x:c>
      <x:c r="Q175" s="39" t="n">
        <x:v>30</x:v>
      </x:c>
      <x:c r="R175" s="44" t="n">
        <x:v>0</x:v>
      </x:c>
      <x:c r="S175" s="39" t="str">
        <x:v>No aplica</x:v>
      </x:c>
      <x:c r="T175" s="45" t="n">
        <x:v>0</x:v>
      </x:c>
      <x:c r="U175" s="39" t="n">
        <x:v>7</x:v>
      </x:c>
      <x:c r="V175" s="44" t="n">
        <x:v>9200</x:v>
      </x:c>
      <x:c r="W175" s="39" t="str">
        <x:v>No</x:v>
      </x:c>
      <x:c r="X175" s="42"/>
      <x:c r="Y175" s="39" t="str">
        <x:v>Sin compromiso</x:v>
      </x:c>
      <x:c r="Z175" s="39" t="n">
        <x:v>2</x:v>
      </x:c>
      <x:c r="AA175" s="39" t="str">
        <x:v>No responde</x:v>
      </x:c>
      <x:c r="AB175" s="39" t="str">
        <x:v>No</x:v>
      </x:c>
      <x:c r="AC175" s="39" t="str">
        <x:v>No</x:v>
      </x:c>
      <x:c r="AD175" s="46" t="n">
        <x:f>IF(C175="COMERCIAL",IF(AC175="Sí",40,0)+IF(D175="Recurrente",15,0)+IF(S175="Alto",25,IF(S175="Medio",12,0))+IF(R175&gt;=30000,20,IF(R175&gt;=10000,12,IF(R175&gt;=5000,6,0)))+IF(N175&lt;=Metadatos!$B$13+1,25,0)+IF(AB175="Sí",15,0)+IF(AA175="No responde",-10,0),IF(Y175="Incumplido",40,0)+IF(AND(W175="Sí",X175=Metadatos!$B$13),35,0)+IF(V175&gt;=20000,25,IF(V175&gt;=10000,18,IF(V175&gt;=5000,10,0)))+IF(U175&gt;=15,25,IF(U175&gt;=6,20,IF(U175&gt;=3,10,0)))+IF(Z175&gt;=3,20,IF(Z175&gt;=2,10,0))+IF(AA175="Respondió",-10,0)+IF(AND(Y175="Vigente",X175&gt;Metadatos!$B$13),-10,0))</x:f>
        <x:v>40</x:v>
      </x:c>
      <x:c r="AE175" s="39" t="str">
        <x:f>IF(AD175&gt;=70,"P1",IF(AD175&gt;=50,"P2",IF(AD175&gt;=30,"P3","P4")))</x:f>
        <x:v>P3</x:v>
      </x:c>
      <x:c r="AF175" s="39" t="str">
        <x:v>Seguimiento por días de mora</x:v>
      </x:c>
      <x:c r="AG175" s="39" t="str">
        <x:v>Programada</x:v>
      </x:c>
      <x:c r="AH175" s="39" t="str">
        <x:v>https://www.google.com/maps?q=-4.556099,-81.299609</x:v>
      </x:c>
      <x:c r="AI175" s="39" t="str">
        <x:v>SINTÉTICO</x:v>
      </x:c>
    </x:row>
    <x:row r="176">
      <x:c r="A176" s="39" t="str">
        <x:v>CLI-175</x:v>
      </x:c>
      <x:c r="B176" s="39" t="str">
        <x:v>Cliente 175</x:v>
      </x:c>
      <x:c r="C176" s="39" t="str">
        <x:v>COMERCIAL</x:v>
      </x:c>
      <x:c r="D176" s="39" t="str">
        <x:v>Recurrente</x:v>
      </x:c>
      <x:c r="E176" s="39" t="str">
        <x:v>Ahorro</x:v>
      </x:c>
      <x:c r="F176" s="39" t="str">
        <x:v>Contactado</x:v>
      </x:c>
      <x:c r="G176" s="40" t="n">
        <x:v>-4.56102</x:v>
      </x:c>
      <x:c r="H176" s="40" t="n">
        <x:v>-81.279007</x:v>
      </x:c>
      <x:c r="I176" s="39" t="str">
        <x:v>Pariñas</x:v>
      </x:c>
      <x:c r="J176" s="39" t="str">
        <x:v>Talara</x:v>
      </x:c>
      <x:c r="K176" s="39" t="str">
        <x:v>AG05</x:v>
      </x:c>
      <x:c r="L176" s="39" t="str">
        <x:v>Mibanco Talara</x:v>
      </x:c>
      <x:c r="M176" s="41" t="n">
        <x:v>2.25</x:v>
      </x:c>
      <x:c r="N176" s="42" t="n">
        <x:v>46293</x:v>
      </x:c>
      <x:c r="O176" s="43" t="n">
        <x:v>0.5833333333333334</x:v>
      </x:c>
      <x:c r="P176" s="43" t="n">
        <x:v>0.6666666666666666</x:v>
      </x:c>
      <x:c r="Q176" s="39" t="n">
        <x:v>45</x:v>
      </x:c>
      <x:c r="R176" s="44" t="n">
        <x:v>43200</x:v>
      </x:c>
      <x:c r="S176" s="39" t="str">
        <x:v>Medio</x:v>
      </x:c>
      <x:c r="T176" s="45" t="n">
        <x:v>0.62</x:v>
      </x:c>
      <x:c r="U176" s="39" t="n">
        <x:v>0</x:v>
      </x:c>
      <x:c r="V176" s="44" t="n">
        <x:v>0</x:v>
      </x:c>
      <x:c r="W176" s="39" t="str">
        <x:v>No</x:v>
      </x:c>
      <x:c r="X176" s="42"/>
      <x:c r="Y176" s="39" t="str">
        <x:v>No aplica</x:v>
      </x:c>
      <x:c r="Z176" s="39" t="n">
        <x:v>0</x:v>
      </x:c>
      <x:c r="AA176" s="39" t="str">
        <x:v>Respondió</x:v>
      </x:c>
      <x:c r="AB176" s="39" t="str">
        <x:v>No</x:v>
      </x:c>
      <x:c r="AC176" s="39" t="str">
        <x:v>No</x:v>
      </x:c>
      <x:c r="AD176" s="46" t="n">
        <x:f>IF(C176="COMERCIAL",IF(AC176="Sí",40,0)+IF(D176="Recurrente",15,0)+IF(S176="Alto",25,IF(S176="Medio",12,0))+IF(R176&gt;=30000,20,IF(R176&gt;=10000,12,IF(R176&gt;=5000,6,0)))+IF(N176&lt;=Metadatos!$B$13+1,25,0)+IF(AB176="Sí",15,0)+IF(AA176="No responde",-10,0),IF(Y176="Incumplido",40,0)+IF(AND(W176="Sí",X176=Metadatos!$B$13),35,0)+IF(V176&gt;=20000,25,IF(V176&gt;=10000,18,IF(V176&gt;=5000,10,0)))+IF(U176&gt;=15,25,IF(U176&gt;=6,20,IF(U176&gt;=3,10,0)))+IF(Z176&gt;=3,20,IF(Z176&gt;=2,10,0))+IF(AA176="Respondió",-10,0)+IF(AND(Y176="Vigente",X176&gt;Metadatos!$B$13),-10,0))</x:f>
        <x:v>47</x:v>
      </x:c>
      <x:c r="AE176" s="39" t="str">
        <x:f>IF(AD176&gt;=70,"P1",IF(AD176&gt;=50,"P2",IF(AD176&gt;=30,"P3","P4")))</x:f>
        <x:v>P3</x:v>
      </x:c>
      <x:c r="AF176" s="39" t="str">
        <x:v>Cliente recurrente con oportunidad activa</x:v>
      </x:c>
      <x:c r="AG176" s="39" t="str">
        <x:v>Pendiente</x:v>
      </x:c>
      <x:c r="AH176" s="39" t="str">
        <x:v>https://www.google.com/maps?q=-4.561020,-81.279007</x:v>
      </x:c>
      <x:c r="AI176" s="39" t="str">
        <x:v>SINTÉTICO</x:v>
      </x:c>
    </x:row>
    <x:row r="177">
      <x:c r="A177" s="39" t="str">
        <x:v>CLI-176</x:v>
      </x:c>
      <x:c r="B177" s="39" t="str">
        <x:v>Cliente 176</x:v>
      </x:c>
      <x:c r="C177" s="39" t="str">
        <x:v>COBRANZA</x:v>
      </x:c>
      <x:c r="D177" s="39" t="str">
        <x:v>Deudor</x:v>
      </x:c>
      <x:c r="E177" s="39" t="str">
        <x:v>Cobranza de crédito</x:v>
      </x:c>
      <x:c r="F177" s="39" t="str">
        <x:v>Recuperación</x:v>
      </x:c>
      <x:c r="G177" s="40" t="n">
        <x:v>-4.561767</x:v>
      </x:c>
      <x:c r="H177" s="40" t="n">
        <x:v>-81.267878</x:v>
      </x:c>
      <x:c r="I177" s="39" t="str">
        <x:v>Pariñas</x:v>
      </x:c>
      <x:c r="J177" s="39" t="str">
        <x:v>Talara</x:v>
      </x:c>
      <x:c r="K177" s="39" t="str">
        <x:v>AG05</x:v>
      </x:c>
      <x:c r="L177" s="39" t="str">
        <x:v>Mibanco Talara</x:v>
      </x:c>
      <x:c r="M177" s="41" t="n">
        <x:v>2.04</x:v>
      </x:c>
      <x:c r="N177" s="42" t="n">
        <x:v>46291</x:v>
      </x:c>
      <x:c r="O177" s="43" t="n">
        <x:v>0.6041666666666666</x:v>
      </x:c>
      <x:c r="P177" s="43" t="n">
        <x:v>0.6666666666666666</x:v>
      </x:c>
      <x:c r="Q177" s="39" t="n">
        <x:v>40</x:v>
      </x:c>
      <x:c r="R177" s="44" t="n">
        <x:v>0</x:v>
      </x:c>
      <x:c r="S177" s="39" t="str">
        <x:v>No aplica</x:v>
      </x:c>
      <x:c r="T177" s="45" t="n">
        <x:v>0</x:v>
      </x:c>
      <x:c r="U177" s="39" t="n">
        <x:v>15</x:v>
      </x:c>
      <x:c r="V177" s="44" t="n">
        <x:v>28700</x:v>
      </x:c>
      <x:c r="W177" s="39" t="str">
        <x:v>Sí</x:v>
      </x:c>
      <x:c r="X177" s="42" t="n">
        <x:v>46293</x:v>
      </x:c>
      <x:c r="Y177" s="39" t="str">
        <x:v>Vigente</x:v>
      </x:c>
      <x:c r="Z177" s="39" t="n">
        <x:v>3</x:v>
      </x:c>
      <x:c r="AA177" s="39" t="str">
        <x:v>Respondió</x:v>
      </x:c>
      <x:c r="AB177" s="39" t="str">
        <x:v>No</x:v>
      </x:c>
      <x:c r="AC177" s="39" t="str">
        <x:v>No</x:v>
      </x:c>
      <x:c r="AD177" s="46" t="n">
        <x:f>IF(C177="COMERCIAL",IF(AC177="Sí",40,0)+IF(D177="Recurrente",15,0)+IF(S177="Alto",25,IF(S177="Medio",12,0))+IF(R177&gt;=30000,20,IF(R177&gt;=10000,12,IF(R177&gt;=5000,6,0)))+IF(N177&lt;=Metadatos!$B$13+1,25,0)+IF(AB177="Sí",15,0)+IF(AA177="No responde",-10,0),IF(Y177="Incumplido",40,0)+IF(AND(W177="Sí",X177=Metadatos!$B$13),35,0)+IF(V177&gt;=20000,25,IF(V177&gt;=10000,18,IF(V177&gt;=5000,10,0)))+IF(U177&gt;=15,25,IF(U177&gt;=6,20,IF(U177&gt;=3,10,0)))+IF(Z177&gt;=3,20,IF(Z177&gt;=2,10,0))+IF(AA177="Respondió",-10,0)+IF(AND(Y177="Vigente",X177&gt;Metadatos!$B$13),-10,0))</x:f>
        <x:v>50</x:v>
      </x:c>
      <x:c r="AE177" s="39" t="str">
        <x:f>IF(AD177&gt;=70,"P1",IF(AD177&gt;=50,"P2",IF(AD177&gt;=30,"P3","P4")))</x:f>
        <x:v>P2</x:v>
      </x:c>
      <x:c r="AF177" s="39" t="str">
        <x:v>Mora elevada y saldo alto</x:v>
      </x:c>
      <x:c r="AG177" s="39" t="str">
        <x:v>Pendiente</x:v>
      </x:c>
      <x:c r="AH177" s="39" t="str">
        <x:v>https://www.google.com/maps?q=-4.561767,-81.267878</x:v>
      </x:c>
      <x:c r="AI177" s="39" t="str">
        <x:v>SINTÉTICO</x:v>
      </x:c>
    </x:row>
    <x:row r="178">
      <x:c r="A178" s="39" t="str">
        <x:v>CLI-177</x:v>
      </x:c>
      <x:c r="B178" s="39" t="str">
        <x:v>Cliente 177</x:v>
      </x:c>
      <x:c r="C178" s="39" t="str">
        <x:v>COMERCIAL</x:v>
      </x:c>
      <x:c r="D178" s="39" t="str">
        <x:v>Recurrente</x:v>
      </x:c>
      <x:c r="E178" s="39" t="str">
        <x:v>Crédito para negocio</x:v>
      </x:c>
      <x:c r="F178" s="39" t="str">
        <x:v>Evaluación</x:v>
      </x:c>
      <x:c r="G178" s="40" t="n">
        <x:v>-4.607917</x:v>
      </x:c>
      <x:c r="H178" s="40" t="n">
        <x:v>-81.284022</x:v>
      </x:c>
      <x:c r="I178" s="39" t="str">
        <x:v>Pariñas</x:v>
      </x:c>
      <x:c r="J178" s="39" t="str">
        <x:v>Talara</x:v>
      </x:c>
      <x:c r="K178" s="39" t="str">
        <x:v>AG05</x:v>
      </x:c>
      <x:c r="L178" s="39" t="str">
        <x:v>Mibanco Talara</x:v>
      </x:c>
      <x:c r="M178" s="41" t="n">
        <x:v>3.43</x:v>
      </x:c>
      <x:c r="N178" s="42" t="n">
        <x:v>46294</x:v>
      </x:c>
      <x:c r="O178" s="43" t="n">
        <x:v>0.5</x:v>
      </x:c>
      <x:c r="P178" s="43" t="n">
        <x:v>0.5625</x:v>
      </x:c>
      <x:c r="Q178" s="39" t="n">
        <x:v>30</x:v>
      </x:c>
      <x:c r="R178" s="44" t="n">
        <x:v>36100</x:v>
      </x:c>
      <x:c r="S178" s="39" t="str">
        <x:v>Medio</x:v>
      </x:c>
      <x:c r="T178" s="45" t="n">
        <x:v>0.59</x:v>
      </x:c>
      <x:c r="U178" s="39" t="n">
        <x:v>0</x:v>
      </x:c>
      <x:c r="V178" s="44" t="n">
        <x:v>0</x:v>
      </x:c>
      <x:c r="W178" s="39" t="str">
        <x:v>No</x:v>
      </x:c>
      <x:c r="X178" s="42"/>
      <x:c r="Y178" s="39" t="str">
        <x:v>No aplica</x:v>
      </x:c>
      <x:c r="Z178" s="39" t="n">
        <x:v>0</x:v>
      </x:c>
      <x:c r="AA178" s="39" t="str">
        <x:v>Respondió</x:v>
      </x:c>
      <x:c r="AB178" s="39" t="str">
        <x:v>Sí</x:v>
      </x:c>
      <x:c r="AC178" s="39" t="str">
        <x:v>No</x:v>
      </x:c>
      <x:c r="AD178" s="46" t="n">
        <x:f>IF(C178="COMERCIAL",IF(AC178="Sí",40,0)+IF(D178="Recurrente",15,0)+IF(S178="Alto",25,IF(S178="Medio",12,0))+IF(R178&gt;=30000,20,IF(R178&gt;=10000,12,IF(R178&gt;=5000,6,0)))+IF(N178&lt;=Metadatos!$B$13+1,25,0)+IF(AB178="Sí",15,0)+IF(AA178="No responde",-10,0),IF(Y178="Incumplido",40,0)+IF(AND(W178="Sí",X178=Metadatos!$B$13),35,0)+IF(V178&gt;=20000,25,IF(V178&gt;=10000,18,IF(V178&gt;=5000,10,0)))+IF(U178&gt;=15,25,IF(U178&gt;=6,20,IF(U178&gt;=3,10,0)))+IF(Z178&gt;=3,20,IF(Z178&gt;=2,10,0))+IF(AA178="Respondió",-10,0)+IF(AND(Y178="Vigente",X178&gt;Metadatos!$B$13),-10,0))</x:f>
        <x:v>62</x:v>
      </x:c>
      <x:c r="AE178" s="39" t="str">
        <x:f>IF(AD178&gt;=70,"P1",IF(AD178&gt;=50,"P2",IF(AD178&gt;=30,"P3","P4")))</x:f>
        <x:v>P2</x:v>
      </x:c>
      <x:c r="AF178" s="39" t="str">
        <x:v>Cliente recurrente con oportunidad activa</x:v>
      </x:c>
      <x:c r="AG178" s="39" t="str">
        <x:v>Pendiente</x:v>
      </x:c>
      <x:c r="AH178" s="39" t="str">
        <x:v>https://www.google.com/maps?q=-4.607917,-81.284022</x:v>
      </x:c>
      <x:c r="AI178" s="39" t="str">
        <x:v>SINTÉTICO</x:v>
      </x:c>
    </x:row>
    <x:row r="179">
      <x:c r="A179" s="39" t="str">
        <x:v>CLI-178</x:v>
      </x:c>
      <x:c r="B179" s="39" t="str">
        <x:v>Cliente 178</x:v>
      </x:c>
      <x:c r="C179" s="39" t="str">
        <x:v>COBRANZA</x:v>
      </x:c>
      <x:c r="D179" s="39" t="str">
        <x:v>Deudor</x:v>
      </x:c>
      <x:c r="E179" s="39" t="str">
        <x:v>Cobranza de crédito</x:v>
      </x:c>
      <x:c r="F179" s="39" t="str">
        <x:v>Recuperación</x:v>
      </x:c>
      <x:c r="G179" s="40" t="n">
        <x:v>-4.594978</x:v>
      </x:c>
      <x:c r="H179" s="40" t="n">
        <x:v>-81.279828</x:v>
      </x:c>
      <x:c r="I179" s="39" t="str">
        <x:v>Pariñas</x:v>
      </x:c>
      <x:c r="J179" s="39" t="str">
        <x:v>Talara</x:v>
      </x:c>
      <x:c r="K179" s="39" t="str">
        <x:v>AG05</x:v>
      </x:c>
      <x:c r="L179" s="39" t="str">
        <x:v>Mibanco Talara</x:v>
      </x:c>
      <x:c r="M179" s="41" t="n">
        <x:v>1.93</x:v>
      </x:c>
      <x:c r="N179" s="42" t="n">
        <x:v>46293</x:v>
      </x:c>
      <x:c r="O179" s="43" t="n">
        <x:v>0.5833333333333334</x:v>
      </x:c>
      <x:c r="P179" s="43" t="n">
        <x:v>0.6458333333333334</x:v>
      </x:c>
      <x:c r="Q179" s="39" t="n">
        <x:v>60</x:v>
      </x:c>
      <x:c r="R179" s="44" t="n">
        <x:v>0</x:v>
      </x:c>
      <x:c r="S179" s="39" t="str">
        <x:v>No aplica</x:v>
      </x:c>
      <x:c r="T179" s="45" t="n">
        <x:v>0</x:v>
      </x:c>
      <x:c r="U179" s="39" t="n">
        <x:v>5</x:v>
      </x:c>
      <x:c r="V179" s="44" t="n">
        <x:v>25700</x:v>
      </x:c>
      <x:c r="W179" s="39" t="str">
        <x:v>No</x:v>
      </x:c>
      <x:c r="X179" s="42"/>
      <x:c r="Y179" s="39" t="str">
        <x:v>Sin compromiso</x:v>
      </x:c>
      <x:c r="Z179" s="39" t="n">
        <x:v>0</x:v>
      </x:c>
      <x:c r="AA179" s="39" t="str">
        <x:v>Respondió</x:v>
      </x:c>
      <x:c r="AB179" s="39" t="str">
        <x:v>No</x:v>
      </x:c>
      <x:c r="AC179" s="39" t="str">
        <x:v>No</x:v>
      </x:c>
      <x:c r="AD179" s="46" t="n">
        <x:f>IF(C179="COMERCIAL",IF(AC179="Sí",40,0)+IF(D179="Recurrente",15,0)+IF(S179="Alto",25,IF(S179="Medio",12,0))+IF(R179&gt;=30000,20,IF(R179&gt;=10000,12,IF(R179&gt;=5000,6,0)))+IF(N179&lt;=Metadatos!$B$13+1,25,0)+IF(AB179="Sí",15,0)+IF(AA179="No responde",-10,0),IF(Y179="Incumplido",40,0)+IF(AND(W179="Sí",X179=Metadatos!$B$13),35,0)+IF(V179&gt;=20000,25,IF(V179&gt;=10000,18,IF(V179&gt;=5000,10,0)))+IF(U179&gt;=15,25,IF(U179&gt;=6,20,IF(U179&gt;=3,10,0)))+IF(Z179&gt;=3,20,IF(Z179&gt;=2,10,0))+IF(AA179="Respondió",-10,0)+IF(AND(Y179="Vigente",X179&gt;Metadatos!$B$13),-10,0))</x:f>
        <x:v>25</x:v>
      </x:c>
      <x:c r="AE179" s="39" t="str">
        <x:f>IF(AD179&gt;=70,"P1",IF(AD179&gt;=50,"P2",IF(AD179&gt;=30,"P3","P4")))</x:f>
        <x:v>P4</x:v>
      </x:c>
      <x:c r="AF179" s="39" t="str">
        <x:v>Mora reciente con seguimiento programable</x:v>
      </x:c>
      <x:c r="AG179" s="39" t="str">
        <x:v>Pendiente</x:v>
      </x:c>
      <x:c r="AH179" s="39" t="str">
        <x:v>https://www.google.com/maps?q=-4.594978,-81.279828</x:v>
      </x:c>
      <x:c r="AI179" s="39" t="str">
        <x:v>SINTÉTICO</x:v>
      </x:c>
    </x:row>
    <x:row r="180">
      <x:c r="A180" s="39" t="str">
        <x:v>CLI-179</x:v>
      </x:c>
      <x:c r="B180" s="39" t="str">
        <x:v>Cliente 179</x:v>
      </x:c>
      <x:c r="C180" s="39" t="str">
        <x:v>COMERCIAL</x:v>
      </x:c>
      <x:c r="D180" s="39" t="str">
        <x:v>Recurrente</x:v>
      </x:c>
      <x:c r="E180" s="39" t="str">
        <x:v>Capital de trabajo</x:v>
      </x:c>
      <x:c r="F180" s="39" t="str">
        <x:v>Evaluación</x:v>
      </x:c>
      <x:c r="G180" s="40" t="n">
        <x:v>-4.606965</x:v>
      </x:c>
      <x:c r="H180" s="40" t="n">
        <x:v>-81.270886</x:v>
      </x:c>
      <x:c r="I180" s="39" t="str">
        <x:v>Pariñas</x:v>
      </x:c>
      <x:c r="J180" s="39" t="str">
        <x:v>Talara</x:v>
      </x:c>
      <x:c r="K180" s="39" t="str">
        <x:v>AG05</x:v>
      </x:c>
      <x:c r="L180" s="39" t="str">
        <x:v>Mibanco Talara</x:v>
      </x:c>
      <x:c r="M180" s="41" t="n">
        <x:v>3.03</x:v>
      </x:c>
      <x:c r="N180" s="42" t="n">
        <x:v>46292</x:v>
      </x:c>
      <x:c r="O180" s="43" t="n">
        <x:v>0.5833333333333334</x:v>
      </x:c>
      <x:c r="P180" s="43" t="n">
        <x:v>0.6666666666666666</x:v>
      </x:c>
      <x:c r="Q180" s="39" t="n">
        <x:v>25</x:v>
      </x:c>
      <x:c r="R180" s="44" t="n">
        <x:v>21800</x:v>
      </x:c>
      <x:c r="S180" s="39" t="str">
        <x:v>Alto</x:v>
      </x:c>
      <x:c r="T180" s="45" t="n">
        <x:v>0.93</x:v>
      </x:c>
      <x:c r="U180" s="39" t="n">
        <x:v>0</x:v>
      </x:c>
      <x:c r="V180" s="44" t="n">
        <x:v>0</x:v>
      </x:c>
      <x:c r="W180" s="39" t="str">
        <x:v>No</x:v>
      </x:c>
      <x:c r="X180" s="42"/>
      <x:c r="Y180" s="39" t="str">
        <x:v>No aplica</x:v>
      </x:c>
      <x:c r="Z180" s="39" t="n">
        <x:v>0</x:v>
      </x:c>
      <x:c r="AA180" s="39" t="str">
        <x:v>Respondió</x:v>
      </x:c>
      <x:c r="AB180" s="39" t="str">
        <x:v>Sí</x:v>
      </x:c>
      <x:c r="AC180" s="39" t="str">
        <x:v>No</x:v>
      </x:c>
      <x:c r="AD180" s="46" t="n">
        <x:f>IF(C180="COMERCIAL",IF(AC180="Sí",40,0)+IF(D180="Recurrente",15,0)+IF(S180="Alto",25,IF(S180="Medio",12,0))+IF(R180&gt;=30000,20,IF(R180&gt;=10000,12,IF(R180&gt;=5000,6,0)))+IF(N180&lt;=Metadatos!$B$13+1,25,0)+IF(AB180="Sí",15,0)+IF(AA180="No responde",-10,0),IF(Y180="Incumplido",40,0)+IF(AND(W180="Sí",X180=Metadatos!$B$13),35,0)+IF(V180&gt;=20000,25,IF(V180&gt;=10000,18,IF(V180&gt;=5000,10,0)))+IF(U180&gt;=15,25,IF(U180&gt;=6,20,IF(U180&gt;=3,10,0)))+IF(Z180&gt;=3,20,IF(Z180&gt;=2,10,0))+IF(AA180="Respondió",-10,0)+IF(AND(Y180="Vigente",X180&gt;Metadatos!$B$13),-10,0))</x:f>
        <x:v>92</x:v>
      </x:c>
      <x:c r="AE180" s="39" t="str">
        <x:f>IF(AD180&gt;=70,"P1",IF(AD180&gt;=50,"P2",IF(AD180&gt;=30,"P3","P4")))</x:f>
        <x:v>P1</x:v>
      </x:c>
      <x:c r="AF180" s="39" t="str">
        <x:v>Cliente recurrente con oportunidad activa</x:v>
      </x:c>
      <x:c r="AG180" s="39" t="str">
        <x:v>Pendiente</x:v>
      </x:c>
      <x:c r="AH180" s="39" t="str">
        <x:v>https://www.google.com/maps?q=-4.606965,-81.270886</x:v>
      </x:c>
      <x:c r="AI180" s="39" t="str">
        <x:v>SINTÉTICO</x:v>
      </x:c>
    </x:row>
    <x:row r="181">
      <x:c r="A181" s="39" t="str">
        <x:v>CLI-180</x:v>
      </x:c>
      <x:c r="B181" s="39" t="str">
        <x:v>Cliente 180</x:v>
      </x:c>
      <x:c r="C181" s="39" t="str">
        <x:v>COBRANZA</x:v>
      </x:c>
      <x:c r="D181" s="39" t="str">
        <x:v>Deudor</x:v>
      </x:c>
      <x:c r="E181" s="39" t="str">
        <x:v>Cobranza de crédito</x:v>
      </x:c>
      <x:c r="F181" s="39" t="str">
        <x:v>Recuperación</x:v>
      </x:c>
      <x:c r="G181" s="40" t="n">
        <x:v>-4.545071</x:v>
      </x:c>
      <x:c r="H181" s="40" t="n">
        <x:v>-81.265215</x:v>
      </x:c>
      <x:c r="I181" s="39" t="str">
        <x:v>Pariñas</x:v>
      </x:c>
      <x:c r="J181" s="39" t="str">
        <x:v>Talara</x:v>
      </x:c>
      <x:c r="K181" s="39" t="str">
        <x:v>AG05</x:v>
      </x:c>
      <x:c r="L181" s="39" t="str">
        <x:v>Mibanco Talara</x:v>
      </x:c>
      <x:c r="M181" s="41" t="n">
        <x:v>3.92</x:v>
      </x:c>
      <x:c r="N181" s="42" t="n">
        <x:v>46291</x:v>
      </x:c>
      <x:c r="O181" s="43" t="n">
        <x:v>0.4791666666666667</x:v>
      </x:c>
      <x:c r="P181" s="43" t="n">
        <x:v>0.5416666666666666</x:v>
      </x:c>
      <x:c r="Q181" s="39" t="n">
        <x:v>35</x:v>
      </x:c>
      <x:c r="R181" s="44" t="n">
        <x:v>0</x:v>
      </x:c>
      <x:c r="S181" s="39" t="str">
        <x:v>No aplica</x:v>
      </x:c>
      <x:c r="T181" s="45" t="n">
        <x:v>0</x:v>
      </x:c>
      <x:c r="U181" s="39" t="n">
        <x:v>2</x:v>
      </x:c>
      <x:c r="V181" s="44" t="n">
        <x:v>10600</x:v>
      </x:c>
      <x:c r="W181" s="39" t="str">
        <x:v>No</x:v>
      </x:c>
      <x:c r="X181" s="42"/>
      <x:c r="Y181" s="39" t="str">
        <x:v>Sin compromiso</x:v>
      </x:c>
      <x:c r="Z181" s="39" t="n">
        <x:v>2</x:v>
      </x:c>
      <x:c r="AA181" s="39" t="str">
        <x:v>Respondió</x:v>
      </x:c>
      <x:c r="AB181" s="39" t="str">
        <x:v>No</x:v>
      </x:c>
      <x:c r="AC181" s="39" t="str">
        <x:v>No</x:v>
      </x:c>
      <x:c r="AD181" s="46" t="n">
        <x:f>IF(C181="COMERCIAL",IF(AC181="Sí",40,0)+IF(D181="Recurrente",15,0)+IF(S181="Alto",25,IF(S181="Medio",12,0))+IF(R181&gt;=30000,20,IF(R181&gt;=10000,12,IF(R181&gt;=5000,6,0)))+IF(N181&lt;=Metadatos!$B$13+1,25,0)+IF(AB181="Sí",15,0)+IF(AA181="No responde",-10,0),IF(Y181="Incumplido",40,0)+IF(AND(W181="Sí",X181=Metadatos!$B$13),35,0)+IF(V181&gt;=20000,25,IF(V181&gt;=10000,18,IF(V181&gt;=5000,10,0)))+IF(U181&gt;=15,25,IF(U181&gt;=6,20,IF(U181&gt;=3,10,0)))+IF(Z181&gt;=3,20,IF(Z181&gt;=2,10,0))+IF(AA181="Respondió",-10,0)+IF(AND(Y181="Vigente",X181&gt;Metadatos!$B$13),-10,0))</x:f>
        <x:v>18</x:v>
      </x:c>
      <x:c r="AE181" s="39" t="str">
        <x:f>IF(AD181&gt;=70,"P1",IF(AD181&gt;=50,"P2",IF(AD181&gt;=30,"P3","P4")))</x:f>
        <x:v>P4</x:v>
      </x:c>
      <x:c r="AF181" s="39" t="str">
        <x:v>Mora reciente con seguimiento programable</x:v>
      </x:c>
      <x:c r="AG181" s="39" t="str">
        <x:v>Programada</x:v>
      </x:c>
      <x:c r="AH181" s="39" t="str">
        <x:v>https://www.google.com/maps?q=-4.545071,-81.265215</x:v>
      </x:c>
      <x:c r="AI181" s="39" t="str">
        <x:v>SINTÉTICO</x:v>
      </x:c>
    </x:row>
    <x:row r="182">
      <x:c r="A182" s="39" t="str">
        <x:v>CLI-181</x:v>
      </x:c>
      <x:c r="B182" s="39" t="str">
        <x:v>Cliente 181</x:v>
      </x:c>
      <x:c r="C182" s="39" t="str">
        <x:v>COMERCIAL</x:v>
      </x:c>
      <x:c r="D182" s="39" t="str">
        <x:v>Recurrente</x:v>
      </x:c>
      <x:c r="E182" s="39" t="str">
        <x:v>Crédito para negocio</x:v>
      </x:c>
      <x:c r="F182" s="39" t="str">
        <x:v>Contactado</x:v>
      </x:c>
      <x:c r="G182" s="40" t="n">
        <x:v>-4.575723</x:v>
      </x:c>
      <x:c r="H182" s="40" t="n">
        <x:v>-81.277943</x:v>
      </x:c>
      <x:c r="I182" s="39" t="str">
        <x:v>Pariñas</x:v>
      </x:c>
      <x:c r="J182" s="39" t="str">
        <x:v>Talara</x:v>
      </x:c>
      <x:c r="K182" s="39" t="str">
        <x:v>AG05</x:v>
      </x:c>
      <x:c r="L182" s="39" t="str">
        <x:v>Mibanco Talara</x:v>
      </x:c>
      <x:c r="M182" s="41" t="n">
        <x:v>0.85</x:v>
      </x:c>
      <x:c r="N182" s="42" t="n">
        <x:v>46293</x:v>
      </x:c>
      <x:c r="O182" s="43" t="n">
        <x:v>0.3541666666666667</x:v>
      </x:c>
      <x:c r="P182" s="43" t="n">
        <x:v>0.4375</x:v>
      </x:c>
      <x:c r="Q182" s="39" t="n">
        <x:v>45</x:v>
      </x:c>
      <x:c r="R182" s="44" t="n">
        <x:v>14400</x:v>
      </x:c>
      <x:c r="S182" s="39" t="str">
        <x:v>Bajo</x:v>
      </x:c>
      <x:c r="T182" s="45" t="n">
        <x:v>0.14</x:v>
      </x:c>
      <x:c r="U182" s="39" t="n">
        <x:v>0</x:v>
      </x:c>
      <x:c r="V182" s="44" t="n">
        <x:v>0</x:v>
      </x:c>
      <x:c r="W182" s="39" t="str">
        <x:v>No</x:v>
      </x:c>
      <x:c r="X182" s="42"/>
      <x:c r="Y182" s="39" t="str">
        <x:v>No aplica</x:v>
      </x:c>
      <x:c r="Z182" s="39" t="n">
        <x:v>0</x:v>
      </x:c>
      <x:c r="AA182" s="39" t="str">
        <x:v>No responde</x:v>
      </x:c>
      <x:c r="AB182" s="39" t="str">
        <x:v>No</x:v>
      </x:c>
      <x:c r="AC182" s="39" t="str">
        <x:v>No</x:v>
      </x:c>
      <x:c r="AD182" s="46" t="n">
        <x:f>IF(C182="COMERCIAL",IF(AC182="Sí",40,0)+IF(D182="Recurrente",15,0)+IF(S182="Alto",25,IF(S182="Medio",12,0))+IF(R182&gt;=30000,20,IF(R182&gt;=10000,12,IF(R182&gt;=5000,6,0)))+IF(N182&lt;=Metadatos!$B$13+1,25,0)+IF(AB182="Sí",15,0)+IF(AA182="No responde",-10,0),IF(Y182="Incumplido",40,0)+IF(AND(W182="Sí",X182=Metadatos!$B$13),35,0)+IF(V182&gt;=20000,25,IF(V182&gt;=10000,18,IF(V182&gt;=5000,10,0)))+IF(U182&gt;=15,25,IF(U182&gt;=6,20,IF(U182&gt;=3,10,0)))+IF(Z182&gt;=3,20,IF(Z182&gt;=2,10,0))+IF(AA182="Respondió",-10,0)+IF(AND(Y182="Vigente",X182&gt;Metadatos!$B$13),-10,0))</x:f>
        <x:v>17</x:v>
      </x:c>
      <x:c r="AE182" s="39" t="str">
        <x:f>IF(AD182&gt;=70,"P1",IF(AD182&gt;=50,"P2",IF(AD182&gt;=30,"P3","P4")))</x:f>
        <x:v>P4</x:v>
      </x:c>
      <x:c r="AF182" s="39" t="str">
        <x:v>Prospecto sin urgencia inmediata</x:v>
      </x:c>
      <x:c r="AG182" s="39" t="str">
        <x:v>Pendiente</x:v>
      </x:c>
      <x:c r="AH182" s="39" t="str">
        <x:v>https://www.google.com/maps?q=-4.575723,-81.277943</x:v>
      </x:c>
      <x:c r="AI182" s="39" t="str">
        <x:v>SINTÉTICO</x:v>
      </x:c>
    </x:row>
    <x:row r="183">
      <x:c r="A183" s="39" t="str">
        <x:v>CLI-182</x:v>
      </x:c>
      <x:c r="B183" s="39" t="str">
        <x:v>Cliente 182</x:v>
      </x:c>
      <x:c r="C183" s="39" t="str">
        <x:v>COBRANZA</x:v>
      </x:c>
      <x:c r="D183" s="39" t="str">
        <x:v>Deudor</x:v>
      </x:c>
      <x:c r="E183" s="39" t="str">
        <x:v>Cobranza de crédito</x:v>
      </x:c>
      <x:c r="F183" s="39" t="str">
        <x:v>Recuperación</x:v>
      </x:c>
      <x:c r="G183" s="40" t="n">
        <x:v>-4.549672</x:v>
      </x:c>
      <x:c r="H183" s="40" t="n">
        <x:v>-81.295312</x:v>
      </x:c>
      <x:c r="I183" s="39" t="str">
        <x:v>Pariñas</x:v>
      </x:c>
      <x:c r="J183" s="39" t="str">
        <x:v>Talara</x:v>
      </x:c>
      <x:c r="K183" s="39" t="str">
        <x:v>AG05</x:v>
      </x:c>
      <x:c r="L183" s="39" t="str">
        <x:v>Mibanco Talara</x:v>
      </x:c>
      <x:c r="M183" s="41" t="n">
        <x:v>4.27</x:v>
      </x:c>
      <x:c r="N183" s="42" t="n">
        <x:v>46293</x:v>
      </x:c>
      <x:c r="O183" s="43" t="n">
        <x:v>0.5208333333333334</x:v>
      </x:c>
      <x:c r="P183" s="43" t="n">
        <x:v>0.5833333333333334</x:v>
      </x:c>
      <x:c r="Q183" s="39" t="n">
        <x:v>50</x:v>
      </x:c>
      <x:c r="R183" s="44" t="n">
        <x:v>0</x:v>
      </x:c>
      <x:c r="S183" s="39" t="str">
        <x:v>No aplica</x:v>
      </x:c>
      <x:c r="T183" s="45" t="n">
        <x:v>0</x:v>
      </x:c>
      <x:c r="U183" s="39" t="n">
        <x:v>3</x:v>
      </x:c>
      <x:c r="V183" s="44" t="n">
        <x:v>1400</x:v>
      </x:c>
      <x:c r="W183" s="39" t="str">
        <x:v>No</x:v>
      </x:c>
      <x:c r="X183" s="42"/>
      <x:c r="Y183" s="39" t="str">
        <x:v>Sin compromiso</x:v>
      </x:c>
      <x:c r="Z183" s="39" t="n">
        <x:v>2</x:v>
      </x:c>
      <x:c r="AA183" s="39" t="str">
        <x:v>No responde</x:v>
      </x:c>
      <x:c r="AB183" s="39" t="str">
        <x:v>No</x:v>
      </x:c>
      <x:c r="AC183" s="39" t="str">
        <x:v>No</x:v>
      </x:c>
      <x:c r="AD183" s="46" t="n">
        <x:f>IF(C183="COMERCIAL",IF(AC183="Sí",40,0)+IF(D183="Recurrente",15,0)+IF(S183="Alto",25,IF(S183="Medio",12,0))+IF(R183&gt;=30000,20,IF(R183&gt;=10000,12,IF(R183&gt;=5000,6,0)))+IF(N183&lt;=Metadatos!$B$13+1,25,0)+IF(AB183="Sí",15,0)+IF(AA183="No responde",-10,0),IF(Y183="Incumplido",40,0)+IF(AND(W183="Sí",X183=Metadatos!$B$13),35,0)+IF(V183&gt;=20000,25,IF(V183&gt;=10000,18,IF(V183&gt;=5000,10,0)))+IF(U183&gt;=15,25,IF(U183&gt;=6,20,IF(U183&gt;=3,10,0)))+IF(Z183&gt;=3,20,IF(Z183&gt;=2,10,0))+IF(AA183="Respondió",-10,0)+IF(AND(Y183="Vigente",X183&gt;Metadatos!$B$13),-10,0))</x:f>
        <x:v>20</x:v>
      </x:c>
      <x:c r="AE183" s="39" t="str">
        <x:f>IF(AD183&gt;=70,"P1",IF(AD183&gt;=50,"P2",IF(AD183&gt;=30,"P3","P4")))</x:f>
        <x:v>P4</x:v>
      </x:c>
      <x:c r="AF183" s="39" t="str">
        <x:v>Mora reciente con seguimiento programable</x:v>
      </x:c>
      <x:c r="AG183" s="39" t="str">
        <x:v>Pendiente</x:v>
      </x:c>
      <x:c r="AH183" s="39" t="str">
        <x:v>https://www.google.com/maps?q=-4.549672,-81.295312</x:v>
      </x:c>
      <x:c r="AI183" s="39" t="str">
        <x:v>SINTÉTICO</x:v>
      </x:c>
    </x:row>
    <x:row r="184">
      <x:c r="A184" s="39" t="str">
        <x:v>CLI-183</x:v>
      </x:c>
      <x:c r="B184" s="39" t="str">
        <x:v>Cliente 183</x:v>
      </x:c>
      <x:c r="C184" s="39" t="str">
        <x:v>COMERCIAL</x:v>
      </x:c>
      <x:c r="D184" s="39" t="str">
        <x:v>Recurrente</x:v>
      </x:c>
      <x:c r="E184" s="39" t="str">
        <x:v>Ahorro</x:v>
      </x:c>
      <x:c r="F184" s="39" t="str">
        <x:v>Prospecto</x:v>
      </x:c>
      <x:c r="G184" s="40" t="n">
        <x:v>-4.570354</x:v>
      </x:c>
      <x:c r="H184" s="40" t="n">
        <x:v>-81.287793</x:v>
      </x:c>
      <x:c r="I184" s="39" t="str">
        <x:v>Pariñas</x:v>
      </x:c>
      <x:c r="J184" s="39" t="str">
        <x:v>Talara</x:v>
      </x:c>
      <x:c r="K184" s="39" t="str">
        <x:v>AG05</x:v>
      </x:c>
      <x:c r="L184" s="39" t="str">
        <x:v>Mibanco Talara</x:v>
      </x:c>
      <x:c r="M184" s="41" t="n">
        <x:v>2.09</x:v>
      </x:c>
      <x:c r="N184" s="42" t="n">
        <x:v>46294</x:v>
      </x:c>
      <x:c r="O184" s="43" t="n">
        <x:v>0.3333333333333333</x:v>
      </x:c>
      <x:c r="P184" s="43" t="n">
        <x:v>0.4166666666666667</x:v>
      </x:c>
      <x:c r="Q184" s="39" t="n">
        <x:v>60</x:v>
      </x:c>
      <x:c r="R184" s="44" t="n">
        <x:v>13800</x:v>
      </x:c>
      <x:c r="S184" s="39" t="str">
        <x:v>Bajo</x:v>
      </x:c>
      <x:c r="T184" s="45" t="n">
        <x:v>0.26</x:v>
      </x:c>
      <x:c r="U184" s="39" t="n">
        <x:v>0</x:v>
      </x:c>
      <x:c r="V184" s="44" t="n">
        <x:v>0</x:v>
      </x:c>
      <x:c r="W184" s="39" t="str">
        <x:v>No</x:v>
      </x:c>
      <x:c r="X184" s="42"/>
      <x:c r="Y184" s="39" t="str">
        <x:v>No aplica</x:v>
      </x:c>
      <x:c r="Z184" s="39" t="n">
        <x:v>0</x:v>
      </x:c>
      <x:c r="AA184" s="39" t="str">
        <x:v>Respondió</x:v>
      </x:c>
      <x:c r="AB184" s="39" t="str">
        <x:v>No</x:v>
      </x:c>
      <x:c r="AC184" s="39" t="str">
        <x:v>No</x:v>
      </x:c>
      <x:c r="AD184" s="46" t="n">
        <x:f>IF(C184="COMERCIAL",IF(AC184="Sí",40,0)+IF(D184="Recurrente",15,0)+IF(S184="Alto",25,IF(S184="Medio",12,0))+IF(R184&gt;=30000,20,IF(R184&gt;=10000,12,IF(R184&gt;=5000,6,0)))+IF(N184&lt;=Metadatos!$B$13+1,25,0)+IF(AB184="Sí",15,0)+IF(AA184="No responde",-10,0),IF(Y184="Incumplido",40,0)+IF(AND(W184="Sí",X184=Metadatos!$B$13),35,0)+IF(V184&gt;=20000,25,IF(V184&gt;=10000,18,IF(V184&gt;=5000,10,0)))+IF(U184&gt;=15,25,IF(U184&gt;=6,20,IF(U184&gt;=3,10,0)))+IF(Z184&gt;=3,20,IF(Z184&gt;=2,10,0))+IF(AA184="Respondió",-10,0)+IF(AND(Y184="Vigente",X184&gt;Metadatos!$B$13),-10,0))</x:f>
        <x:v>27</x:v>
      </x:c>
      <x:c r="AE184" s="39" t="str">
        <x:f>IF(AD184&gt;=70,"P1",IF(AD184&gt;=50,"P2",IF(AD184&gt;=30,"P3","P4")))</x:f>
        <x:v>P4</x:v>
      </x:c>
      <x:c r="AF184" s="39" t="str">
        <x:v>Prospecto sin urgencia inmediata</x:v>
      </x:c>
      <x:c r="AG184" s="39" t="str">
        <x:v>Pendiente</x:v>
      </x:c>
      <x:c r="AH184" s="39" t="str">
        <x:v>https://www.google.com/maps?q=-4.570354,-81.287793</x:v>
      </x:c>
      <x:c r="AI184" s="39" t="str">
        <x:v>SINTÉTICO</x:v>
      </x:c>
    </x:row>
    <x:row r="185">
      <x:c r="A185" s="39" t="str">
        <x:v>CLI-184</x:v>
      </x:c>
      <x:c r="B185" s="39" t="str">
        <x:v>Cliente 184</x:v>
      </x:c>
      <x:c r="C185" s="39" t="str">
        <x:v>COBRANZA</x:v>
      </x:c>
      <x:c r="D185" s="39" t="str">
        <x:v>Deudor</x:v>
      </x:c>
      <x:c r="E185" s="39" t="str">
        <x:v>Cobranza de crédito</x:v>
      </x:c>
      <x:c r="F185" s="39" t="str">
        <x:v>Recuperación</x:v>
      </x:c>
      <x:c r="G185" s="40" t="n">
        <x:v>-4.571266</x:v>
      </x:c>
      <x:c r="H185" s="40" t="n">
        <x:v>-81.290718</x:v>
      </x:c>
      <x:c r="I185" s="39" t="str">
        <x:v>Pariñas</x:v>
      </x:c>
      <x:c r="J185" s="39" t="str">
        <x:v>Talara</x:v>
      </x:c>
      <x:c r="K185" s="39" t="str">
        <x:v>AG05</x:v>
      </x:c>
      <x:c r="L185" s="39" t="str">
        <x:v>Mibanco Talara</x:v>
      </x:c>
      <x:c r="M185" s="41" t="n">
        <x:v>2.34</x:v>
      </x:c>
      <x:c r="N185" s="42" t="n">
        <x:v>46291</x:v>
      </x:c>
      <x:c r="O185" s="43" t="n">
        <x:v>0.5</x:v>
      </x:c>
      <x:c r="P185" s="43" t="n">
        <x:v>0.5833333333333334</x:v>
      </x:c>
      <x:c r="Q185" s="39" t="n">
        <x:v>60</x:v>
      </x:c>
      <x:c r="R185" s="44" t="n">
        <x:v>0</x:v>
      </x:c>
      <x:c r="S185" s="39" t="str">
        <x:v>No aplica</x:v>
      </x:c>
      <x:c r="T185" s="45" t="n">
        <x:v>0</x:v>
      </x:c>
      <x:c r="U185" s="39" t="n">
        <x:v>2</x:v>
      </x:c>
      <x:c r="V185" s="44" t="n">
        <x:v>31700</x:v>
      </x:c>
      <x:c r="W185" s="39" t="str">
        <x:v>Sí</x:v>
      </x:c>
      <x:c r="X185" s="42" t="n">
        <x:v>46290</x:v>
      </x:c>
      <x:c r="Y185" s="39" t="str">
        <x:v>Incumplido</x:v>
      </x:c>
      <x:c r="Z185" s="39" t="n">
        <x:v>3</x:v>
      </x:c>
      <x:c r="AA185" s="39" t="str">
        <x:v>No responde</x:v>
      </x:c>
      <x:c r="AB185" s="39" t="str">
        <x:v>No</x:v>
      </x:c>
      <x:c r="AC185" s="39" t="str">
        <x:v>No</x:v>
      </x:c>
      <x:c r="AD185" s="46" t="n">
        <x:f>IF(C185="COMERCIAL",IF(AC185="Sí",40,0)+IF(D185="Recurrente",15,0)+IF(S185="Alto",25,IF(S185="Medio",12,0))+IF(R185&gt;=30000,20,IF(R185&gt;=10000,12,IF(R185&gt;=5000,6,0)))+IF(N185&lt;=Metadatos!$B$13+1,25,0)+IF(AB185="Sí",15,0)+IF(AA185="No responde",-10,0),IF(Y185="Incumplido",40,0)+IF(AND(W185="Sí",X185=Metadatos!$B$13),35,0)+IF(V185&gt;=20000,25,IF(V185&gt;=10000,18,IF(V185&gt;=5000,10,0)))+IF(U185&gt;=15,25,IF(U185&gt;=6,20,IF(U185&gt;=3,10,0)))+IF(Z185&gt;=3,20,IF(Z185&gt;=2,10,0))+IF(AA185="Respondió",-10,0)+IF(AND(Y185="Vigente",X185&gt;Metadatos!$B$13),-10,0))</x:f>
        <x:v>85</x:v>
      </x:c>
      <x:c r="AE185" s="39" t="str">
        <x:f>IF(AD185&gt;=70,"P1",IF(AD185&gt;=50,"P2",IF(AD185&gt;=30,"P3","P4")))</x:f>
        <x:v>P1</x:v>
      </x:c>
      <x:c r="AF185" s="39" t="str">
        <x:v>Compromiso incumplido y cliente sin respuesta</x:v>
      </x:c>
      <x:c r="AG185" s="39" t="str">
        <x:v>Programada</x:v>
      </x:c>
      <x:c r="AH185" s="39" t="str">
        <x:v>https://www.google.com/maps?q=-4.571266,-81.290718</x:v>
      </x:c>
      <x:c r="AI185" s="39" t="str">
        <x:v>SINTÉTICO</x:v>
      </x:c>
    </x:row>
    <x:row r="186">
      <x:c r="A186" s="39" t="str">
        <x:v>CLI-185</x:v>
      </x:c>
      <x:c r="B186" s="39" t="str">
        <x:v>Cliente 185</x:v>
      </x:c>
      <x:c r="C186" s="39" t="str">
        <x:v>COMERCIAL</x:v>
      </x:c>
      <x:c r="D186" s="39" t="str">
        <x:v>Recurrente</x:v>
      </x:c>
      <x:c r="E186" s="39" t="str">
        <x:v>Crédito personal</x:v>
      </x:c>
      <x:c r="F186" s="39" t="str">
        <x:v>Negociación</x:v>
      </x:c>
      <x:c r="G186" s="40" t="n">
        <x:v>-4.553696</x:v>
      </x:c>
      <x:c r="H186" s="40" t="n">
        <x:v>-81.280315</x:v>
      </x:c>
      <x:c r="I186" s="39" t="str">
        <x:v>Pariñas</x:v>
      </x:c>
      <x:c r="J186" s="39" t="str">
        <x:v>Talara</x:v>
      </x:c>
      <x:c r="K186" s="39" t="str">
        <x:v>AG05</x:v>
      </x:c>
      <x:c r="L186" s="39" t="str">
        <x:v>Mibanco Talara</x:v>
      </x:c>
      <x:c r="M186" s="41" t="n">
        <x:v>3.06</x:v>
      </x:c>
      <x:c r="N186" s="42" t="n">
        <x:v>46292</x:v>
      </x:c>
      <x:c r="O186" s="43" t="n">
        <x:v>0.375</x:v>
      </x:c>
      <x:c r="P186" s="43" t="n">
        <x:v>0.4583333333333333</x:v>
      </x:c>
      <x:c r="Q186" s="39" t="n">
        <x:v>40</x:v>
      </x:c>
      <x:c r="R186" s="44" t="n">
        <x:v>47000</x:v>
      </x:c>
      <x:c r="S186" s="39" t="str">
        <x:v>Alto</x:v>
      </x:c>
      <x:c r="T186" s="45" t="n">
        <x:v>0.66</x:v>
      </x:c>
      <x:c r="U186" s="39" t="n">
        <x:v>0</x:v>
      </x:c>
      <x:c r="V186" s="44" t="n">
        <x:v>0</x:v>
      </x:c>
      <x:c r="W186" s="39" t="str">
        <x:v>No</x:v>
      </x:c>
      <x:c r="X186" s="42"/>
      <x:c r="Y186" s="39" t="str">
        <x:v>No aplica</x:v>
      </x:c>
      <x:c r="Z186" s="39" t="n">
        <x:v>0</x:v>
      </x:c>
      <x:c r="AA186" s="39" t="str">
        <x:v>Respondió</x:v>
      </x:c>
      <x:c r="AB186" s="39" t="str">
        <x:v>Sí</x:v>
      </x:c>
      <x:c r="AC186" s="39" t="str">
        <x:v>No</x:v>
      </x:c>
      <x:c r="AD186" s="46" t="n">
        <x:f>IF(C186="COMERCIAL",IF(AC186="Sí",40,0)+IF(D186="Recurrente",15,0)+IF(S186="Alto",25,IF(S186="Medio",12,0))+IF(R186&gt;=30000,20,IF(R186&gt;=10000,12,IF(R186&gt;=5000,6,0)))+IF(N186&lt;=Metadatos!$B$13+1,25,0)+IF(AB186="Sí",15,0)+IF(AA186="No responde",-10,0),IF(Y186="Incumplido",40,0)+IF(AND(W186="Sí",X186=Metadatos!$B$13),35,0)+IF(V186&gt;=20000,25,IF(V186&gt;=10000,18,IF(V186&gt;=5000,10,0)))+IF(U186&gt;=15,25,IF(U186&gt;=6,20,IF(U186&gt;=3,10,0)))+IF(Z186&gt;=3,20,IF(Z186&gt;=2,10,0))+IF(AA186="Respondió",-10,0)+IF(AND(Y186="Vigente",X186&gt;Metadatos!$B$13),-10,0))</x:f>
        <x:v>100</x:v>
      </x:c>
      <x:c r="AE186" s="39" t="str">
        <x:f>IF(AD186&gt;=70,"P1",IF(AD186&gt;=50,"P2",IF(AD186&gt;=30,"P3","P4")))</x:f>
        <x:v>P1</x:v>
      </x:c>
      <x:c r="AF186" s="39" t="str">
        <x:v>Interés alto y monto comercial alto</x:v>
      </x:c>
      <x:c r="AG186" s="39" t="str">
        <x:v>Pendiente</x:v>
      </x:c>
      <x:c r="AH186" s="39" t="str">
        <x:v>https://www.google.com/maps?q=-4.553696,-81.280315</x:v>
      </x:c>
      <x:c r="AI186" s="39" t="str">
        <x:v>SINTÉTICO</x:v>
      </x:c>
    </x:row>
    <x:row r="187">
      <x:c r="A187" s="39" t="str">
        <x:v>CLI-186</x:v>
      </x:c>
      <x:c r="B187" s="39" t="str">
        <x:v>Cliente 186</x:v>
      </x:c>
      <x:c r="C187" s="39" t="str">
        <x:v>COBRANZA</x:v>
      </x:c>
      <x:c r="D187" s="39" t="str">
        <x:v>Deudor</x:v>
      </x:c>
      <x:c r="E187" s="39" t="str">
        <x:v>Cobranza de crédito</x:v>
      </x:c>
      <x:c r="F187" s="39" t="str">
        <x:v>Recuperación</x:v>
      </x:c>
      <x:c r="G187" s="40" t="n">
        <x:v>-4.55376</x:v>
      </x:c>
      <x:c r="H187" s="40" t="n">
        <x:v>-81.24692</x:v>
      </x:c>
      <x:c r="I187" s="39" t="str">
        <x:v>Pariñas</x:v>
      </x:c>
      <x:c r="J187" s="39" t="str">
        <x:v>Talara</x:v>
      </x:c>
      <x:c r="K187" s="39" t="str">
        <x:v>AG05</x:v>
      </x:c>
      <x:c r="L187" s="39" t="str">
        <x:v>Mibanco Talara</x:v>
      </x:c>
      <x:c r="M187" s="41" t="n">
        <x:v>3.97</x:v>
      </x:c>
      <x:c r="N187" s="42" t="n">
        <x:v>46291</x:v>
      </x:c>
      <x:c r="O187" s="43" t="n">
        <x:v>0.375</x:v>
      </x:c>
      <x:c r="P187" s="43" t="n">
        <x:v>0.4375</x:v>
      </x:c>
      <x:c r="Q187" s="39" t="n">
        <x:v>30</x:v>
      </x:c>
      <x:c r="R187" s="44" t="n">
        <x:v>0</x:v>
      </x:c>
      <x:c r="S187" s="39" t="str">
        <x:v>No aplica</x:v>
      </x:c>
      <x:c r="T187" s="45" t="n">
        <x:v>0</x:v>
      </x:c>
      <x:c r="U187" s="39" t="n">
        <x:v>18</x:v>
      </x:c>
      <x:c r="V187" s="44" t="n">
        <x:v>18800</x:v>
      </x:c>
      <x:c r="W187" s="39" t="str">
        <x:v>Sí</x:v>
      </x:c>
      <x:c r="X187" s="42" t="n">
        <x:v>46291</x:v>
      </x:c>
      <x:c r="Y187" s="39" t="str">
        <x:v>Vigente</x:v>
      </x:c>
      <x:c r="Z187" s="39" t="n">
        <x:v>2</x:v>
      </x:c>
      <x:c r="AA187" s="39" t="str">
        <x:v>Respondió</x:v>
      </x:c>
      <x:c r="AB187" s="39" t="str">
        <x:v>No</x:v>
      </x:c>
      <x:c r="AC187" s="39" t="str">
        <x:v>Sí</x:v>
      </x:c>
      <x:c r="AD187" s="46" t="n">
        <x:f>IF(C187="COMERCIAL",IF(AC187="Sí",40,0)+IF(D187="Recurrente",15,0)+IF(S187="Alto",25,IF(S187="Medio",12,0))+IF(R187&gt;=30000,20,IF(R187&gt;=10000,12,IF(R187&gt;=5000,6,0)))+IF(N187&lt;=Metadatos!$B$13+1,25,0)+IF(AB187="Sí",15,0)+IF(AA187="No responde",-10,0),IF(Y187="Incumplido",40,0)+IF(AND(W187="Sí",X187=Metadatos!$B$13),35,0)+IF(V187&gt;=20000,25,IF(V187&gt;=10000,18,IF(V187&gt;=5000,10,0)))+IF(U187&gt;=15,25,IF(U187&gt;=6,20,IF(U187&gt;=3,10,0)))+IF(Z187&gt;=3,20,IF(Z187&gt;=2,10,0))+IF(AA187="Respondió",-10,0)+IF(AND(Y187="Vigente",X187&gt;Metadatos!$B$13),-10,0))</x:f>
        <x:v>78</x:v>
      </x:c>
      <x:c r="AE187" s="39" t="str">
        <x:f>IF(AD187&gt;=70,"P1",IF(AD187&gt;=50,"P2",IF(AD187&gt;=30,"P3","P4")))</x:f>
        <x:v>P1</x:v>
      </x:c>
      <x:c r="AF187" s="39" t="str">
        <x:v>Compromiso de pago con vencimiento hoy</x:v>
      </x:c>
      <x:c r="AG187" s="39" t="str">
        <x:v>Pendiente</x:v>
      </x:c>
      <x:c r="AH187" s="39" t="str">
        <x:v>https://www.google.com/maps?q=-4.553760,-81.246920</x:v>
      </x:c>
      <x:c r="AI187" s="39" t="str">
        <x:v>SINTÉTICO</x:v>
      </x:c>
    </x:row>
    <x:row r="188">
      <x:c r="A188" s="39" t="str">
        <x:v>CLI-187</x:v>
      </x:c>
      <x:c r="B188" s="39" t="str">
        <x:v>Cliente 187</x:v>
      </x:c>
      <x:c r="C188" s="39" t="str">
        <x:v>COMERCIAL</x:v>
      </x:c>
      <x:c r="D188" s="39" t="str">
        <x:v>Recurrente</x:v>
      </x:c>
      <x:c r="E188" s="39" t="str">
        <x:v>Ahorro</x:v>
      </x:c>
      <x:c r="F188" s="39" t="str">
        <x:v>Contactado</x:v>
      </x:c>
      <x:c r="G188" s="40" t="n">
        <x:v>-4.580418</x:v>
      </x:c>
      <x:c r="H188" s="40" t="n">
        <x:v>-81.286849</x:v>
      </x:c>
      <x:c r="I188" s="39" t="str">
        <x:v>Pariñas</x:v>
      </x:c>
      <x:c r="J188" s="39" t="str">
        <x:v>Talara</x:v>
      </x:c>
      <x:c r="K188" s="39" t="str">
        <x:v>AG05</x:v>
      </x:c>
      <x:c r="L188" s="39" t="str">
        <x:v>Mibanco Talara</x:v>
      </x:c>
      <x:c r="M188" s="41" t="n">
        <x:v>1.71</x:v>
      </x:c>
      <x:c r="N188" s="42" t="n">
        <x:v>46294</x:v>
      </x:c>
      <x:c r="O188" s="43" t="n">
        <x:v>0.5416666666666666</x:v>
      </x:c>
      <x:c r="P188" s="43" t="n">
        <x:v>0.5833333333333334</x:v>
      </x:c>
      <x:c r="Q188" s="39" t="n">
        <x:v>35</x:v>
      </x:c>
      <x:c r="R188" s="44" t="n">
        <x:v>16100</x:v>
      </x:c>
      <x:c r="S188" s="39" t="str">
        <x:v>Bajo</x:v>
      </x:c>
      <x:c r="T188" s="45" t="n">
        <x:v>0.13</x:v>
      </x:c>
      <x:c r="U188" s="39" t="n">
        <x:v>0</x:v>
      </x:c>
      <x:c r="V188" s="44" t="n">
        <x:v>0</x:v>
      </x:c>
      <x:c r="W188" s="39" t="str">
        <x:v>No</x:v>
      </x:c>
      <x:c r="X188" s="42"/>
      <x:c r="Y188" s="39" t="str">
        <x:v>No aplica</x:v>
      </x:c>
      <x:c r="Z188" s="39" t="n">
        <x:v>0</x:v>
      </x:c>
      <x:c r="AA188" s="39" t="str">
        <x:v>Respondió</x:v>
      </x:c>
      <x:c r="AB188" s="39" t="str">
        <x:v>No</x:v>
      </x:c>
      <x:c r="AC188" s="39" t="str">
        <x:v>No</x:v>
      </x:c>
      <x:c r="AD188" s="46" t="n">
        <x:f>IF(C188="COMERCIAL",IF(AC188="Sí",40,0)+IF(D188="Recurrente",15,0)+IF(S188="Alto",25,IF(S188="Medio",12,0))+IF(R188&gt;=30000,20,IF(R188&gt;=10000,12,IF(R188&gt;=5000,6,0)))+IF(N188&lt;=Metadatos!$B$13+1,25,0)+IF(AB188="Sí",15,0)+IF(AA188="No responde",-10,0),IF(Y188="Incumplido",40,0)+IF(AND(W188="Sí",X188=Metadatos!$B$13),35,0)+IF(V188&gt;=20000,25,IF(V188&gt;=10000,18,IF(V188&gt;=5000,10,0)))+IF(U188&gt;=15,25,IF(U188&gt;=6,20,IF(U188&gt;=3,10,0)))+IF(Z188&gt;=3,20,IF(Z188&gt;=2,10,0))+IF(AA188="Respondió",-10,0)+IF(AND(Y188="Vigente",X188&gt;Metadatos!$B$13),-10,0))</x:f>
        <x:v>27</x:v>
      </x:c>
      <x:c r="AE188" s="39" t="str">
        <x:f>IF(AD188&gt;=70,"P1",IF(AD188&gt;=50,"P2",IF(AD188&gt;=30,"P3","P4")))</x:f>
        <x:v>P4</x:v>
      </x:c>
      <x:c r="AF188" s="39" t="str">
        <x:v>Prospecto sin urgencia inmediata</x:v>
      </x:c>
      <x:c r="AG188" s="39" t="str">
        <x:v>Pendiente</x:v>
      </x:c>
      <x:c r="AH188" s="39" t="str">
        <x:v>https://www.google.com/maps?q=-4.580418,-81.286849</x:v>
      </x:c>
      <x:c r="AI188" s="39" t="str">
        <x:v>SINTÉTICO</x:v>
      </x:c>
    </x:row>
    <x:row r="189">
      <x:c r="A189" s="39" t="str">
        <x:v>CLI-188</x:v>
      </x:c>
      <x:c r="B189" s="39" t="str">
        <x:v>Cliente 188</x:v>
      </x:c>
      <x:c r="C189" s="39" t="str">
        <x:v>COBRANZA</x:v>
      </x:c>
      <x:c r="D189" s="39" t="str">
        <x:v>Deudor</x:v>
      </x:c>
      <x:c r="E189" s="39" t="str">
        <x:v>Cobranza de crédito</x:v>
      </x:c>
      <x:c r="F189" s="39" t="str">
        <x:v>Recuperación</x:v>
      </x:c>
      <x:c r="G189" s="40" t="n">
        <x:v>-4.553834</x:v>
      </x:c>
      <x:c r="H189" s="40" t="n">
        <x:v>-81.285949</x:v>
      </x:c>
      <x:c r="I189" s="39" t="str">
        <x:v>Pariñas</x:v>
      </x:c>
      <x:c r="J189" s="39" t="str">
        <x:v>Talara</x:v>
      </x:c>
      <x:c r="K189" s="39" t="str">
        <x:v>AG05</x:v>
      </x:c>
      <x:c r="L189" s="39" t="str">
        <x:v>Mibanco Talara</x:v>
      </x:c>
      <x:c r="M189" s="41" t="n">
        <x:v>3.3</x:v>
      </x:c>
      <x:c r="N189" s="42" t="n">
        <x:v>46291</x:v>
      </x:c>
      <x:c r="O189" s="43" t="n">
        <x:v>0.3333333333333333</x:v>
      </x:c>
      <x:c r="P189" s="43" t="n">
        <x:v>0.3958333333333333</x:v>
      </x:c>
      <x:c r="Q189" s="39" t="n">
        <x:v>50</x:v>
      </x:c>
      <x:c r="R189" s="44" t="n">
        <x:v>0</x:v>
      </x:c>
      <x:c r="S189" s="39" t="str">
        <x:v>No aplica</x:v>
      </x:c>
      <x:c r="T189" s="45" t="n">
        <x:v>0</x:v>
      </x:c>
      <x:c r="U189" s="39" t="n">
        <x:v>10</x:v>
      </x:c>
      <x:c r="V189" s="44" t="n">
        <x:v>21100</x:v>
      </x:c>
      <x:c r="W189" s="39" t="str">
        <x:v>Sí</x:v>
      </x:c>
      <x:c r="X189" s="42" t="n">
        <x:v>46288</x:v>
      </x:c>
      <x:c r="Y189" s="39" t="str">
        <x:v>Incumplido</x:v>
      </x:c>
      <x:c r="Z189" s="39" t="n">
        <x:v>4</x:v>
      </x:c>
      <x:c r="AA189" s="39" t="str">
        <x:v>No responde</x:v>
      </x:c>
      <x:c r="AB189" s="39" t="str">
        <x:v>No</x:v>
      </x:c>
      <x:c r="AC189" s="39" t="str">
        <x:v>No</x:v>
      </x:c>
      <x:c r="AD189" s="46" t="n">
        <x:f>IF(C189="COMERCIAL",IF(AC189="Sí",40,0)+IF(D189="Recurrente",15,0)+IF(S189="Alto",25,IF(S189="Medio",12,0))+IF(R189&gt;=30000,20,IF(R189&gt;=10000,12,IF(R189&gt;=5000,6,0)))+IF(N189&lt;=Metadatos!$B$13+1,25,0)+IF(AB189="Sí",15,0)+IF(AA189="No responde",-10,0),IF(Y189="Incumplido",40,0)+IF(AND(W189="Sí",X189=Metadatos!$B$13),35,0)+IF(V189&gt;=20000,25,IF(V189&gt;=10000,18,IF(V189&gt;=5000,10,0)))+IF(U189&gt;=15,25,IF(U189&gt;=6,20,IF(U189&gt;=3,10,0)))+IF(Z189&gt;=3,20,IF(Z189&gt;=2,10,0))+IF(AA189="Respondió",-10,0)+IF(AND(Y189="Vigente",X189&gt;Metadatos!$B$13),-10,0))</x:f>
        <x:v>105</x:v>
      </x:c>
      <x:c r="AE189" s="39" t="str">
        <x:f>IF(AD189&gt;=70,"P1",IF(AD189&gt;=50,"P2",IF(AD189&gt;=30,"P3","P4")))</x:f>
        <x:v>P1</x:v>
      </x:c>
      <x:c r="AF189" s="39" t="str">
        <x:v>Compromiso incumplido y cliente sin respuesta</x:v>
      </x:c>
      <x:c r="AG189" s="39" t="str">
        <x:v>Programada</x:v>
      </x:c>
      <x:c r="AH189" s="39" t="str">
        <x:v>https://www.google.com/maps?q=-4.553834,-81.285949</x:v>
      </x:c>
      <x:c r="AI189" s="39" t="str">
        <x:v>SINTÉTICO</x:v>
      </x:c>
    </x:row>
    <x:row r="190">
      <x:c r="A190" s="39" t="str">
        <x:v>CLI-189</x:v>
      </x:c>
      <x:c r="B190" s="39" t="str">
        <x:v>Cliente 189</x:v>
      </x:c>
      <x:c r="C190" s="39" t="str">
        <x:v>COMERCIAL</x:v>
      </x:c>
      <x:c r="D190" s="39" t="str">
        <x:v>Nuevo</x:v>
      </x:c>
      <x:c r="E190" s="39" t="str">
        <x:v>Crédito para negocio</x:v>
      </x:c>
      <x:c r="F190" s="39" t="str">
        <x:v>Cierre</x:v>
      </x:c>
      <x:c r="G190" s="40" t="n">
        <x:v>-4.57549</x:v>
      </x:c>
      <x:c r="H190" s="40" t="n">
        <x:v>-81.271518</x:v>
      </x:c>
      <x:c r="I190" s="39" t="str">
        <x:v>Pariñas</x:v>
      </x:c>
      <x:c r="J190" s="39" t="str">
        <x:v>Talara</x:v>
      </x:c>
      <x:c r="K190" s="39" t="str">
        <x:v>AG05</x:v>
      </x:c>
      <x:c r="L190" s="39" t="str">
        <x:v>Mibanco Talara</x:v>
      </x:c>
      <x:c r="M190" s="41" t="n">
        <x:v>0.48</x:v>
      </x:c>
      <x:c r="N190" s="42" t="n">
        <x:v>46292</x:v>
      </x:c>
      <x:c r="O190" s="43" t="n">
        <x:v>0.3958333333333333</x:v>
      </x:c>
      <x:c r="P190" s="43" t="n">
        <x:v>0.4375</x:v>
      </x:c>
      <x:c r="Q190" s="39" t="n">
        <x:v>50</x:v>
      </x:c>
      <x:c r="R190" s="44" t="n">
        <x:v>39900</x:v>
      </x:c>
      <x:c r="S190" s="39" t="str">
        <x:v>Alto</x:v>
      </x:c>
      <x:c r="T190" s="45" t="n">
        <x:v>0.94</x:v>
      </x:c>
      <x:c r="U190" s="39" t="n">
        <x:v>0</x:v>
      </x:c>
      <x:c r="V190" s="44" t="n">
        <x:v>0</x:v>
      </x:c>
      <x:c r="W190" s="39" t="str">
        <x:v>No</x:v>
      </x:c>
      <x:c r="X190" s="42"/>
      <x:c r="Y190" s="39" t="str">
        <x:v>No aplica</x:v>
      </x:c>
      <x:c r="Z190" s="39" t="n">
        <x:v>0</x:v>
      </x:c>
      <x:c r="AA190" s="39" t="str">
        <x:v>Respondió</x:v>
      </x:c>
      <x:c r="AB190" s="39" t="str">
        <x:v>Sí</x:v>
      </x:c>
      <x:c r="AC190" s="39" t="str">
        <x:v>No</x:v>
      </x:c>
      <x:c r="AD190" s="46" t="n">
        <x:f>IF(C190="COMERCIAL",IF(AC190="Sí",40,0)+IF(D190="Recurrente",15,0)+IF(S190="Alto",25,IF(S190="Medio",12,0))+IF(R190&gt;=30000,20,IF(R190&gt;=10000,12,IF(R190&gt;=5000,6,0)))+IF(N190&lt;=Metadatos!$B$13+1,25,0)+IF(AB190="Sí",15,0)+IF(AA190="No responde",-10,0),IF(Y190="Incumplido",40,0)+IF(AND(W190="Sí",X190=Metadatos!$B$13),35,0)+IF(V190&gt;=20000,25,IF(V190&gt;=10000,18,IF(V190&gt;=5000,10,0)))+IF(U190&gt;=15,25,IF(U190&gt;=6,20,IF(U190&gt;=3,10,0)))+IF(Z190&gt;=3,20,IF(Z190&gt;=2,10,0))+IF(AA190="Respondió",-10,0)+IF(AND(Y190="Vigente",X190&gt;Metadatos!$B$13),-10,0))</x:f>
        <x:v>85</x:v>
      </x:c>
      <x:c r="AE190" s="39" t="str">
        <x:f>IF(AD190&gt;=70,"P1",IF(AD190&gt;=50,"P2",IF(AD190&gt;=30,"P3","P4")))</x:f>
        <x:v>P1</x:v>
      </x:c>
      <x:c r="AF190" s="39" t="str">
        <x:v>Interés alto y monto comercial alto</x:v>
      </x:c>
      <x:c r="AG190" s="39" t="str">
        <x:v>Programada</x:v>
      </x:c>
      <x:c r="AH190" s="39" t="str">
        <x:v>https://www.google.com/maps?q=-4.575490,-81.271518</x:v>
      </x:c>
      <x:c r="AI190" s="39" t="str">
        <x:v>SINTÉTICO</x:v>
      </x:c>
    </x:row>
    <x:row r="191">
      <x:c r="A191" s="39" t="str">
        <x:v>CLI-190</x:v>
      </x:c>
      <x:c r="B191" s="39" t="str">
        <x:v>Cliente 190</x:v>
      </x:c>
      <x:c r="C191" s="39" t="str">
        <x:v>COBRANZA</x:v>
      </x:c>
      <x:c r="D191" s="39" t="str">
        <x:v>Deudor</x:v>
      </x:c>
      <x:c r="E191" s="39" t="str">
        <x:v>Cobranza de crédito</x:v>
      </x:c>
      <x:c r="F191" s="39" t="str">
        <x:v>Recuperación</x:v>
      </x:c>
      <x:c r="G191" s="40" t="n">
        <x:v>-4.585886</x:v>
      </x:c>
      <x:c r="H191" s="40" t="n">
        <x:v>-81.277938</x:v>
      </x:c>
      <x:c r="I191" s="39" t="str">
        <x:v>Pariñas</x:v>
      </x:c>
      <x:c r="J191" s="39" t="str">
        <x:v>Talara</x:v>
      </x:c>
      <x:c r="K191" s="39" t="str">
        <x:v>AG05</x:v>
      </x:c>
      <x:c r="L191" s="39" t="str">
        <x:v>Mibanco Talara</x:v>
      </x:c>
      <x:c r="M191" s="41" t="n">
        <x:v>0.99</x:v>
      </x:c>
      <x:c r="N191" s="42" t="n">
        <x:v>46291</x:v>
      </x:c>
      <x:c r="O191" s="43" t="n">
        <x:v>0.5833333333333334</x:v>
      </x:c>
      <x:c r="P191" s="43" t="n">
        <x:v>0.625</x:v>
      </x:c>
      <x:c r="Q191" s="39" t="n">
        <x:v>40</x:v>
      </x:c>
      <x:c r="R191" s="44" t="n">
        <x:v>0</x:v>
      </x:c>
      <x:c r="S191" s="39" t="str">
        <x:v>No aplica</x:v>
      </x:c>
      <x:c r="T191" s="45" t="n">
        <x:v>0</x:v>
      </x:c>
      <x:c r="U191" s="39" t="n">
        <x:v>22</x:v>
      </x:c>
      <x:c r="V191" s="44" t="n">
        <x:v>14000</x:v>
      </x:c>
      <x:c r="W191" s="39" t="str">
        <x:v>No</x:v>
      </x:c>
      <x:c r="X191" s="42"/>
      <x:c r="Y191" s="39" t="str">
        <x:v>Sin compromiso</x:v>
      </x:c>
      <x:c r="Z191" s="39" t="n">
        <x:v>2</x:v>
      </x:c>
      <x:c r="AA191" s="39" t="str">
        <x:v>Respondió</x:v>
      </x:c>
      <x:c r="AB191" s="39" t="str">
        <x:v>No</x:v>
      </x:c>
      <x:c r="AC191" s="39" t="str">
        <x:v>No</x:v>
      </x:c>
      <x:c r="AD191" s="46" t="n">
        <x:f>IF(C191="COMERCIAL",IF(AC191="Sí",40,0)+IF(D191="Recurrente",15,0)+IF(S191="Alto",25,IF(S191="Medio",12,0))+IF(R191&gt;=30000,20,IF(R191&gt;=10000,12,IF(R191&gt;=5000,6,0)))+IF(N191&lt;=Metadatos!$B$13+1,25,0)+IF(AB191="Sí",15,0)+IF(AA191="No responde",-10,0),IF(Y191="Incumplido",40,0)+IF(AND(W191="Sí",X191=Metadatos!$B$13),35,0)+IF(V191&gt;=20000,25,IF(V191&gt;=10000,18,IF(V191&gt;=5000,10,0)))+IF(U191&gt;=15,25,IF(U191&gt;=6,20,IF(U191&gt;=3,10,0)))+IF(Z191&gt;=3,20,IF(Z191&gt;=2,10,0))+IF(AA191="Respondió",-10,0)+IF(AND(Y191="Vigente",X191&gt;Metadatos!$B$13),-10,0))</x:f>
        <x:v>43</x:v>
      </x:c>
      <x:c r="AE191" s="39" t="str">
        <x:f>IF(AD191&gt;=70,"P1",IF(AD191&gt;=50,"P2",IF(AD191&gt;=30,"P3","P4")))</x:f>
        <x:v>P3</x:v>
      </x:c>
      <x:c r="AF191" s="39" t="str">
        <x:v>Mora elevada y saldo alto</x:v>
      </x:c>
      <x:c r="AG191" s="39" t="str">
        <x:v>Pendiente</x:v>
      </x:c>
      <x:c r="AH191" s="39" t="str">
        <x:v>https://www.google.com/maps?q=-4.585886,-81.277938</x:v>
      </x:c>
      <x:c r="AI191" s="39" t="str">
        <x:v>SINTÉTICO</x:v>
      </x:c>
    </x:row>
    <x:row r="192">
      <x:c r="A192" s="39" t="str">
        <x:v>CLI-191</x:v>
      </x:c>
      <x:c r="B192" s="39" t="str">
        <x:v>Cliente 191</x:v>
      </x:c>
      <x:c r="C192" s="39" t="str">
        <x:v>COMERCIAL</x:v>
      </x:c>
      <x:c r="D192" s="39" t="str">
        <x:v>Nuevo</x:v>
      </x:c>
      <x:c r="E192" s="39" t="str">
        <x:v>Ahorro</x:v>
      </x:c>
      <x:c r="F192" s="39" t="str">
        <x:v>Negociación</x:v>
      </x:c>
      <x:c r="G192" s="40" t="n">
        <x:v>-4.59514</x:v>
      </x:c>
      <x:c r="H192" s="40" t="n">
        <x:v>-81.238758</x:v>
      </x:c>
      <x:c r="I192" s="39" t="str">
        <x:v>Pariñas</x:v>
      </x:c>
      <x:c r="J192" s="39" t="str">
        <x:v>Talara</x:v>
      </x:c>
      <x:c r="K192" s="39" t="str">
        <x:v>AG05</x:v>
      </x:c>
      <x:c r="L192" s="39" t="str">
        <x:v>Mibanco Talara</x:v>
      </x:c>
      <x:c r="M192" s="41" t="n">
        <x:v>4.01</x:v>
      </x:c>
      <x:c r="N192" s="42" t="n">
        <x:v>46291</x:v>
      </x:c>
      <x:c r="O192" s="43" t="n">
        <x:v>0.3541666666666667</x:v>
      </x:c>
      <x:c r="P192" s="43" t="n">
        <x:v>0.3958333333333333</x:v>
      </x:c>
      <x:c r="Q192" s="39" t="n">
        <x:v>25</x:v>
      </x:c>
      <x:c r="R192" s="44" t="n">
        <x:v>41900</x:v>
      </x:c>
      <x:c r="S192" s="39" t="str">
        <x:v>Alto</x:v>
      </x:c>
      <x:c r="T192" s="45" t="n">
        <x:v>0.82</x:v>
      </x:c>
      <x:c r="U192" s="39" t="n">
        <x:v>0</x:v>
      </x:c>
      <x:c r="V192" s="44" t="n">
        <x:v>0</x:v>
      </x:c>
      <x:c r="W192" s="39" t="str">
        <x:v>No</x:v>
      </x:c>
      <x:c r="X192" s="42"/>
      <x:c r="Y192" s="39" t="str">
        <x:v>No aplica</x:v>
      </x:c>
      <x:c r="Z192" s="39" t="n">
        <x:v>0</x:v>
      </x:c>
      <x:c r="AA192" s="39" t="str">
        <x:v>Respondió</x:v>
      </x:c>
      <x:c r="AB192" s="39" t="str">
        <x:v>Sí</x:v>
      </x:c>
      <x:c r="AC192" s="39" t="str">
        <x:v>Sí</x:v>
      </x:c>
      <x:c r="AD192" s="46" t="n">
        <x:f>IF(C192="COMERCIAL",IF(AC192="Sí",40,0)+IF(D192="Recurrente",15,0)+IF(S192="Alto",25,IF(S192="Medio",12,0))+IF(R192&gt;=30000,20,IF(R192&gt;=10000,12,IF(R192&gt;=5000,6,0)))+IF(N192&lt;=Metadatos!$B$13+1,25,0)+IF(AB192="Sí",15,0)+IF(AA192="No responde",-10,0),IF(Y192="Incumplido",40,0)+IF(AND(W192="Sí",X192=Metadatos!$B$13),35,0)+IF(V192&gt;=20000,25,IF(V192&gt;=10000,18,IF(V192&gt;=5000,10,0)))+IF(U192&gt;=15,25,IF(U192&gt;=6,20,IF(U192&gt;=3,10,0)))+IF(Z192&gt;=3,20,IF(Z192&gt;=2,10,0))+IF(AA192="Respondió",-10,0)+IF(AND(Y192="Vigente",X192&gt;Metadatos!$B$13),-10,0))</x:f>
        <x:v>125</x:v>
      </x:c>
      <x:c r="AE192" s="39" t="str">
        <x:f>IF(AD192&gt;=70,"P1",IF(AD192&gt;=50,"P2",IF(AD192&gt;=30,"P3","P4")))</x:f>
        <x:v>P1</x:v>
      </x:c>
      <x:c r="AF192" s="39" t="str">
        <x:v>Operación comercial prevista hoy</x:v>
      </x:c>
      <x:c r="AG192" s="39" t="str">
        <x:v>Pendiente</x:v>
      </x:c>
      <x:c r="AH192" s="39" t="str">
        <x:v>https://www.google.com/maps?q=-4.595140,-81.238758</x:v>
      </x:c>
      <x:c r="AI192" s="39" t="str">
        <x:v>SINTÉTICO</x:v>
      </x:c>
    </x:row>
    <x:row r="193">
      <x:c r="A193" s="39" t="str">
        <x:v>CLI-192</x:v>
      </x:c>
      <x:c r="B193" s="39" t="str">
        <x:v>Cliente 192</x:v>
      </x:c>
      <x:c r="C193" s="39" t="str">
        <x:v>COBRANZA</x:v>
      </x:c>
      <x:c r="D193" s="39" t="str">
        <x:v>Deudor</x:v>
      </x:c>
      <x:c r="E193" s="39" t="str">
        <x:v>Cobranza de crédito</x:v>
      </x:c>
      <x:c r="F193" s="39" t="str">
        <x:v>Recuperación</x:v>
      </x:c>
      <x:c r="G193" s="40" t="n">
        <x:v>-4.613275</x:v>
      </x:c>
      <x:c r="H193" s="40" t="n">
        <x:v>-81.270796</x:v>
      </x:c>
      <x:c r="I193" s="39" t="str">
        <x:v>Pariñas</x:v>
      </x:c>
      <x:c r="J193" s="39" t="str">
        <x:v>Talara</x:v>
      </x:c>
      <x:c r="K193" s="39" t="str">
        <x:v>AG05</x:v>
      </x:c>
      <x:c r="L193" s="39" t="str">
        <x:v>Mibanco Talara</x:v>
      </x:c>
      <x:c r="M193" s="41" t="n">
        <x:v>3.73</x:v>
      </x:c>
      <x:c r="N193" s="42" t="n">
        <x:v>46292</x:v>
      </x:c>
      <x:c r="O193" s="43" t="n">
        <x:v>0.5208333333333334</x:v>
      </x:c>
      <x:c r="P193" s="43" t="n">
        <x:v>0.5833333333333334</x:v>
      </x:c>
      <x:c r="Q193" s="39" t="n">
        <x:v>25</x:v>
      </x:c>
      <x:c r="R193" s="44" t="n">
        <x:v>0</x:v>
      </x:c>
      <x:c r="S193" s="39" t="str">
        <x:v>No aplica</x:v>
      </x:c>
      <x:c r="T193" s="45" t="n">
        <x:v>0</x:v>
      </x:c>
      <x:c r="U193" s="39" t="n">
        <x:v>1</x:v>
      </x:c>
      <x:c r="V193" s="44" t="n">
        <x:v>14200</x:v>
      </x:c>
      <x:c r="W193" s="39" t="str">
        <x:v>No</x:v>
      </x:c>
      <x:c r="X193" s="42"/>
      <x:c r="Y193" s="39" t="str">
        <x:v>Sin compromiso</x:v>
      </x:c>
      <x:c r="Z193" s="39" t="n">
        <x:v>2</x:v>
      </x:c>
      <x:c r="AA193" s="39" t="str">
        <x:v>No responde</x:v>
      </x:c>
      <x:c r="AB193" s="39" t="str">
        <x:v>No</x:v>
      </x:c>
      <x:c r="AC193" s="39" t="str">
        <x:v>No</x:v>
      </x:c>
      <x:c r="AD193" s="46" t="n">
        <x:f>IF(C193="COMERCIAL",IF(AC193="Sí",40,0)+IF(D193="Recurrente",15,0)+IF(S193="Alto",25,IF(S193="Medio",12,0))+IF(R193&gt;=30000,20,IF(R193&gt;=10000,12,IF(R193&gt;=5000,6,0)))+IF(N193&lt;=Metadatos!$B$13+1,25,0)+IF(AB193="Sí",15,0)+IF(AA193="No responde",-10,0),IF(Y193="Incumplido",40,0)+IF(AND(W193="Sí",X193=Metadatos!$B$13),35,0)+IF(V193&gt;=20000,25,IF(V193&gt;=10000,18,IF(V193&gt;=5000,10,0)))+IF(U193&gt;=15,25,IF(U193&gt;=6,20,IF(U193&gt;=3,10,0)))+IF(Z193&gt;=3,20,IF(Z193&gt;=2,10,0))+IF(AA193="Respondió",-10,0)+IF(AND(Y193="Vigente",X193&gt;Metadatos!$B$13),-10,0))</x:f>
        <x:v>28</x:v>
      </x:c>
      <x:c r="AE193" s="39" t="str">
        <x:f>IF(AD193&gt;=70,"P1",IF(AD193&gt;=50,"P2",IF(AD193&gt;=30,"P3","P4")))</x:f>
        <x:v>P4</x:v>
      </x:c>
      <x:c r="AF193" s="39" t="str">
        <x:v>Mora reciente con seguimiento programable</x:v>
      </x:c>
      <x:c r="AG193" s="39" t="str">
        <x:v>Pendiente</x:v>
      </x:c>
      <x:c r="AH193" s="39" t="str">
        <x:v>https://www.google.com/maps?q=-4.613275,-81.270796</x:v>
      </x:c>
      <x:c r="AI193" s="39" t="str">
        <x:v>SINTÉTICO</x:v>
      </x:c>
    </x:row>
    <x:row r="194">
      <x:c r="A194" s="39" t="str">
        <x:v>CLI-193</x:v>
      </x:c>
      <x:c r="B194" s="39" t="str">
        <x:v>Cliente 193</x:v>
      </x:c>
      <x:c r="C194" s="39" t="str">
        <x:v>COMERCIAL</x:v>
      </x:c>
      <x:c r="D194" s="39" t="str">
        <x:v>Recurrente</x:v>
      </x:c>
      <x:c r="E194" s="39" t="str">
        <x:v>Capital de trabajo</x:v>
      </x:c>
      <x:c r="F194" s="39" t="str">
        <x:v>Negociación</x:v>
      </x:c>
      <x:c r="G194" s="40" t="n">
        <x:v>-4.579444</x:v>
      </x:c>
      <x:c r="H194" s="40" t="n">
        <x:v>-81.257487</x:v>
      </x:c>
      <x:c r="I194" s="39" t="str">
        <x:v>Pariñas</x:v>
      </x:c>
      <x:c r="J194" s="39" t="str">
        <x:v>Talara</x:v>
      </x:c>
      <x:c r="K194" s="39" t="str">
        <x:v>AG05</x:v>
      </x:c>
      <x:c r="L194" s="39" t="str">
        <x:v>Mibanco Talara</x:v>
      </x:c>
      <x:c r="M194" s="41" t="n">
        <x:v>1.55</x:v>
      </x:c>
      <x:c r="N194" s="42" t="n">
        <x:v>46294</x:v>
      </x:c>
      <x:c r="O194" s="43" t="n">
        <x:v>0.5208333333333334</x:v>
      </x:c>
      <x:c r="P194" s="43" t="n">
        <x:v>0.5625</x:v>
      </x:c>
      <x:c r="Q194" s="39" t="n">
        <x:v>35</x:v>
      </x:c>
      <x:c r="R194" s="44" t="n">
        <x:v>36000</x:v>
      </x:c>
      <x:c r="S194" s="39" t="str">
        <x:v>Medio</x:v>
      </x:c>
      <x:c r="T194" s="45" t="n">
        <x:v>0.62</x:v>
      </x:c>
      <x:c r="U194" s="39" t="n">
        <x:v>0</x:v>
      </x:c>
      <x:c r="V194" s="44" t="n">
        <x:v>0</x:v>
      </x:c>
      <x:c r="W194" s="39" t="str">
        <x:v>No</x:v>
      </x:c>
      <x:c r="X194" s="42"/>
      <x:c r="Y194" s="39" t="str">
        <x:v>No aplica</x:v>
      </x:c>
      <x:c r="Z194" s="39" t="n">
        <x:v>0</x:v>
      </x:c>
      <x:c r="AA194" s="39" t="str">
        <x:v>Respondió</x:v>
      </x:c>
      <x:c r="AB194" s="39" t="str">
        <x:v>Sí</x:v>
      </x:c>
      <x:c r="AC194" s="39" t="str">
        <x:v>No</x:v>
      </x:c>
      <x:c r="AD194" s="46" t="n">
        <x:f>IF(C194="COMERCIAL",IF(AC194="Sí",40,0)+IF(D194="Recurrente",15,0)+IF(S194="Alto",25,IF(S194="Medio",12,0))+IF(R194&gt;=30000,20,IF(R194&gt;=10000,12,IF(R194&gt;=5000,6,0)))+IF(N194&lt;=Metadatos!$B$13+1,25,0)+IF(AB194="Sí",15,0)+IF(AA194="No responde",-10,0),IF(Y194="Incumplido",40,0)+IF(AND(W194="Sí",X194=Metadatos!$B$13),35,0)+IF(V194&gt;=20000,25,IF(V194&gt;=10000,18,IF(V194&gt;=5000,10,0)))+IF(U194&gt;=15,25,IF(U194&gt;=6,20,IF(U194&gt;=3,10,0)))+IF(Z194&gt;=3,20,IF(Z194&gt;=2,10,0))+IF(AA194="Respondió",-10,0)+IF(AND(Y194="Vigente",X194&gt;Metadatos!$B$13),-10,0))</x:f>
        <x:v>62</x:v>
      </x:c>
      <x:c r="AE194" s="39" t="str">
        <x:f>IF(AD194&gt;=70,"P1",IF(AD194&gt;=50,"P2",IF(AD194&gt;=30,"P3","P4")))</x:f>
        <x:v>P2</x:v>
      </x:c>
      <x:c r="AF194" s="39" t="str">
        <x:v>Cliente recurrente con oportunidad activa</x:v>
      </x:c>
      <x:c r="AG194" s="39" t="str">
        <x:v>Pendiente</x:v>
      </x:c>
      <x:c r="AH194" s="39" t="str">
        <x:v>https://www.google.com/maps?q=-4.579444,-81.257487</x:v>
      </x:c>
      <x:c r="AI194" s="39" t="str">
        <x:v>SINTÉTICO</x:v>
      </x:c>
    </x:row>
    <x:row r="195">
      <x:c r="A195" s="39" t="str">
        <x:v>CLI-194</x:v>
      </x:c>
      <x:c r="B195" s="39" t="str">
        <x:v>Cliente 194</x:v>
      </x:c>
      <x:c r="C195" s="39" t="str">
        <x:v>COBRANZA</x:v>
      </x:c>
      <x:c r="D195" s="39" t="str">
        <x:v>Deudor</x:v>
      </x:c>
      <x:c r="E195" s="39" t="str">
        <x:v>Cobranza de crédito</x:v>
      </x:c>
      <x:c r="F195" s="39" t="str">
        <x:v>Recuperación</x:v>
      </x:c>
      <x:c r="G195" s="40" t="n">
        <x:v>-4.617073</x:v>
      </x:c>
      <x:c r="H195" s="40" t="n">
        <x:v>-81.270793</x:v>
      </x:c>
      <x:c r="I195" s="39" t="str">
        <x:v>Pariñas</x:v>
      </x:c>
      <x:c r="J195" s="39" t="str">
        <x:v>Talara</x:v>
      </x:c>
      <x:c r="K195" s="39" t="str">
        <x:v>AG05</x:v>
      </x:c>
      <x:c r="L195" s="39" t="str">
        <x:v>Mibanco Talara</x:v>
      </x:c>
      <x:c r="M195" s="41" t="n">
        <x:v>4.15</x:v>
      </x:c>
      <x:c r="N195" s="42" t="n">
        <x:v>46294</x:v>
      </x:c>
      <x:c r="O195" s="43" t="n">
        <x:v>0.5416666666666666</x:v>
      </x:c>
      <x:c r="P195" s="43" t="n">
        <x:v>0.625</x:v>
      </x:c>
      <x:c r="Q195" s="39" t="n">
        <x:v>45</x:v>
      </x:c>
      <x:c r="R195" s="44" t="n">
        <x:v>0</x:v>
      </x:c>
      <x:c r="S195" s="39" t="str">
        <x:v>No aplica</x:v>
      </x:c>
      <x:c r="T195" s="45" t="n">
        <x:v>0</x:v>
      </x:c>
      <x:c r="U195" s="39" t="n">
        <x:v>2</x:v>
      </x:c>
      <x:c r="V195" s="44" t="n">
        <x:v>23100</x:v>
      </x:c>
      <x:c r="W195" s="39" t="str">
        <x:v>Sí</x:v>
      </x:c>
      <x:c r="X195" s="42" t="n">
        <x:v>46294</x:v>
      </x:c>
      <x:c r="Y195" s="39" t="str">
        <x:v>Vigente</x:v>
      </x:c>
      <x:c r="Z195" s="39" t="n">
        <x:v>3</x:v>
      </x:c>
      <x:c r="AA195" s="39" t="str">
        <x:v>Respondió</x:v>
      </x:c>
      <x:c r="AB195" s="39" t="str">
        <x:v>No</x:v>
      </x:c>
      <x:c r="AC195" s="39" t="str">
        <x:v>No</x:v>
      </x:c>
      <x:c r="AD195" s="46" t="n">
        <x:f>IF(C195="COMERCIAL",IF(AC195="Sí",40,0)+IF(D195="Recurrente",15,0)+IF(S195="Alto",25,IF(S195="Medio",12,0))+IF(R195&gt;=30000,20,IF(R195&gt;=10000,12,IF(R195&gt;=5000,6,0)))+IF(N195&lt;=Metadatos!$B$13+1,25,0)+IF(AB195="Sí",15,0)+IF(AA195="No responde",-10,0),IF(Y195="Incumplido",40,0)+IF(AND(W195="Sí",X195=Metadatos!$B$13),35,0)+IF(V195&gt;=20000,25,IF(V195&gt;=10000,18,IF(V195&gt;=5000,10,0)))+IF(U195&gt;=15,25,IF(U195&gt;=6,20,IF(U195&gt;=3,10,0)))+IF(Z195&gt;=3,20,IF(Z195&gt;=2,10,0))+IF(AA195="Respondió",-10,0)+IF(AND(Y195="Vigente",X195&gt;Metadatos!$B$13),-10,0))</x:f>
        <x:v>25</x:v>
      </x:c>
      <x:c r="AE195" s="39" t="str">
        <x:f>IF(AD195&gt;=70,"P1",IF(AD195&gt;=50,"P2",IF(AD195&gt;=30,"P3","P4")))</x:f>
        <x:v>P4</x:v>
      </x:c>
      <x:c r="AF195" s="39" t="str">
        <x:v>Varios intentos sin respuesta</x:v>
      </x:c>
      <x:c r="AG195" s="39" t="str">
        <x:v>Programada</x:v>
      </x:c>
      <x:c r="AH195" s="39" t="str">
        <x:v>https://www.google.com/maps?q=-4.617073,-81.270793</x:v>
      </x:c>
      <x:c r="AI195" s="39" t="str">
        <x:v>SINTÉTICO</x:v>
      </x:c>
    </x:row>
    <x:row r="196">
      <x:c r="A196" s="39" t="str">
        <x:v>CLI-195</x:v>
      </x:c>
      <x:c r="B196" s="39" t="str">
        <x:v>Cliente 195</x:v>
      </x:c>
      <x:c r="C196" s="39" t="str">
        <x:v>COMERCIAL</x:v>
      </x:c>
      <x:c r="D196" s="39" t="str">
        <x:v>Nuevo</x:v>
      </x:c>
      <x:c r="E196" s="39" t="str">
        <x:v>Crédito personal</x:v>
      </x:c>
      <x:c r="F196" s="39" t="str">
        <x:v>Contactado</x:v>
      </x:c>
      <x:c r="G196" s="40" t="n">
        <x:v>-4.596818</x:v>
      </x:c>
      <x:c r="H196" s="40" t="n">
        <x:v>-81.2751</x:v>
      </x:c>
      <x:c r="I196" s="39" t="str">
        <x:v>Pariñas</x:v>
      </x:c>
      <x:c r="J196" s="39" t="str">
        <x:v>Talara</x:v>
      </x:c>
      <x:c r="K196" s="39" t="str">
        <x:v>AG05</x:v>
      </x:c>
      <x:c r="L196" s="39" t="str">
        <x:v>Mibanco Talara</x:v>
      </x:c>
      <x:c r="M196" s="41" t="n">
        <x:v>1.94</x:v>
      </x:c>
      <x:c r="N196" s="42" t="n">
        <x:v>46294</x:v>
      </x:c>
      <x:c r="O196" s="43" t="n">
        <x:v>0.4166666666666667</x:v>
      </x:c>
      <x:c r="P196" s="43" t="n">
        <x:v>0.4583333333333333</x:v>
      </x:c>
      <x:c r="Q196" s="39" t="n">
        <x:v>30</x:v>
      </x:c>
      <x:c r="R196" s="44" t="n">
        <x:v>35900</x:v>
      </x:c>
      <x:c r="S196" s="39" t="str">
        <x:v>Medio</x:v>
      </x:c>
      <x:c r="T196" s="45" t="n">
        <x:v>0.62</x:v>
      </x:c>
      <x:c r="U196" s="39" t="n">
        <x:v>0</x:v>
      </x:c>
      <x:c r="V196" s="44" t="n">
        <x:v>0</x:v>
      </x:c>
      <x:c r="W196" s="39" t="str">
        <x:v>No</x:v>
      </x:c>
      <x:c r="X196" s="42"/>
      <x:c r="Y196" s="39" t="str">
        <x:v>No aplica</x:v>
      </x:c>
      <x:c r="Z196" s="39" t="n">
        <x:v>0</x:v>
      </x:c>
      <x:c r="AA196" s="39" t="str">
        <x:v>Respondió</x:v>
      </x:c>
      <x:c r="AB196" s="39" t="str">
        <x:v>Sí</x:v>
      </x:c>
      <x:c r="AC196" s="39" t="str">
        <x:v>No</x:v>
      </x:c>
      <x:c r="AD196" s="46" t="n">
        <x:f>IF(C196="COMERCIAL",IF(AC196="Sí",40,0)+IF(D196="Recurrente",15,0)+IF(S196="Alto",25,IF(S196="Medio",12,0))+IF(R196&gt;=30000,20,IF(R196&gt;=10000,12,IF(R196&gt;=5000,6,0)))+IF(N196&lt;=Metadatos!$B$13+1,25,0)+IF(AB196="Sí",15,0)+IF(AA196="No responde",-10,0),IF(Y196="Incumplido",40,0)+IF(AND(W196="Sí",X196=Metadatos!$B$13),35,0)+IF(V196&gt;=20000,25,IF(V196&gt;=10000,18,IF(V196&gt;=5000,10,0)))+IF(U196&gt;=15,25,IF(U196&gt;=6,20,IF(U196&gt;=3,10,0)))+IF(Z196&gt;=3,20,IF(Z196&gt;=2,10,0))+IF(AA196="Respondió",-10,0)+IF(AND(Y196="Vigente",X196&gt;Metadatos!$B$13),-10,0))</x:f>
        <x:v>47</x:v>
      </x:c>
      <x:c r="AE196" s="39" t="str">
        <x:f>IF(AD196&gt;=70,"P1",IF(AD196&gt;=50,"P2",IF(AD196&gt;=30,"P3","P4")))</x:f>
        <x:v>P3</x:v>
      </x:c>
      <x:c r="AF196" s="39" t="str">
        <x:v>Interés medio; requiere seguimiento</x:v>
      </x:c>
      <x:c r="AG196" s="39" t="str">
        <x:v>Pendiente</x:v>
      </x:c>
      <x:c r="AH196" s="39" t="str">
        <x:v>https://www.google.com/maps?q=-4.596818,-81.275100</x:v>
      </x:c>
      <x:c r="AI196" s="39" t="str">
        <x:v>SINTÉTICO</x:v>
      </x:c>
    </x:row>
    <x:row r="197">
      <x:c r="A197" s="39" t="str">
        <x:v>CLI-196</x:v>
      </x:c>
      <x:c r="B197" s="39" t="str">
        <x:v>Cliente 196</x:v>
      </x:c>
      <x:c r="C197" s="39" t="str">
        <x:v>COBRANZA</x:v>
      </x:c>
      <x:c r="D197" s="39" t="str">
        <x:v>Deudor</x:v>
      </x:c>
      <x:c r="E197" s="39" t="str">
        <x:v>Cobranza de crédito</x:v>
      </x:c>
      <x:c r="F197" s="39" t="str">
        <x:v>Recuperación</x:v>
      </x:c>
      <x:c r="G197" s="40" t="n">
        <x:v>-4.583897</x:v>
      </x:c>
      <x:c r="H197" s="40" t="n">
        <x:v>-81.293362</x:v>
      </x:c>
      <x:c r="I197" s="39" t="str">
        <x:v>Pariñas</x:v>
      </x:c>
      <x:c r="J197" s="39" t="str">
        <x:v>Talara</x:v>
      </x:c>
      <x:c r="K197" s="39" t="str">
        <x:v>AG05</x:v>
      </x:c>
      <x:c r="L197" s="39" t="str">
        <x:v>Mibanco Talara</x:v>
      </x:c>
      <x:c r="M197" s="41" t="n">
        <x:v>2.48</x:v>
      </x:c>
      <x:c r="N197" s="42" t="n">
        <x:v>46293</x:v>
      </x:c>
      <x:c r="O197" s="43" t="n">
        <x:v>0.5416666666666666</x:v>
      </x:c>
      <x:c r="P197" s="43" t="n">
        <x:v>0.6041666666666666</x:v>
      </x:c>
      <x:c r="Q197" s="39" t="n">
        <x:v>30</x:v>
      </x:c>
      <x:c r="R197" s="44" t="n">
        <x:v>0</x:v>
      </x:c>
      <x:c r="S197" s="39" t="str">
        <x:v>No aplica</x:v>
      </x:c>
      <x:c r="T197" s="45" t="n">
        <x:v>0</x:v>
      </x:c>
      <x:c r="U197" s="39" t="n">
        <x:v>3</x:v>
      </x:c>
      <x:c r="V197" s="44" t="n">
        <x:v>24200</x:v>
      </x:c>
      <x:c r="W197" s="39" t="str">
        <x:v>No</x:v>
      </x:c>
      <x:c r="X197" s="42"/>
      <x:c r="Y197" s="39" t="str">
        <x:v>Sin compromiso</x:v>
      </x:c>
      <x:c r="Z197" s="39" t="n">
        <x:v>3</x:v>
      </x:c>
      <x:c r="AA197" s="39" t="str">
        <x:v>No responde</x:v>
      </x:c>
      <x:c r="AB197" s="39" t="str">
        <x:v>No</x:v>
      </x:c>
      <x:c r="AC197" s="39" t="str">
        <x:v>No</x:v>
      </x:c>
      <x:c r="AD197" s="46" t="n">
        <x:f>IF(C197="COMERCIAL",IF(AC197="Sí",40,0)+IF(D197="Recurrente",15,0)+IF(S197="Alto",25,IF(S197="Medio",12,0))+IF(R197&gt;=30000,20,IF(R197&gt;=10000,12,IF(R197&gt;=5000,6,0)))+IF(N197&lt;=Metadatos!$B$13+1,25,0)+IF(AB197="Sí",15,0)+IF(AA197="No responde",-10,0),IF(Y197="Incumplido",40,0)+IF(AND(W197="Sí",X197=Metadatos!$B$13),35,0)+IF(V197&gt;=20000,25,IF(V197&gt;=10000,18,IF(V197&gt;=5000,10,0)))+IF(U197&gt;=15,25,IF(U197&gt;=6,20,IF(U197&gt;=3,10,0)))+IF(Z197&gt;=3,20,IF(Z197&gt;=2,10,0))+IF(AA197="Respondió",-10,0)+IF(AND(Y197="Vigente",X197&gt;Metadatos!$B$13),-10,0))</x:f>
        <x:v>55</x:v>
      </x:c>
      <x:c r="AE197" s="39" t="str">
        <x:f>IF(AD197&gt;=70,"P1",IF(AD197&gt;=50,"P2",IF(AD197&gt;=30,"P3","P4")))</x:f>
        <x:v>P2</x:v>
      </x:c>
      <x:c r="AF197" s="39" t="str">
        <x:v>Varios intentos sin respuesta</x:v>
      </x:c>
      <x:c r="AG197" s="39" t="str">
        <x:v>Pendiente</x:v>
      </x:c>
      <x:c r="AH197" s="39" t="str">
        <x:v>https://www.google.com/maps?q=-4.583897,-81.293362</x:v>
      </x:c>
      <x:c r="AI197" s="39" t="str">
        <x:v>SINTÉTICO</x:v>
      </x:c>
    </x:row>
    <x:row r="198">
      <x:c r="A198" s="39" t="str">
        <x:v>CLI-197</x:v>
      </x:c>
      <x:c r="B198" s="39" t="str">
        <x:v>Cliente 197</x:v>
      </x:c>
      <x:c r="C198" s="39" t="str">
        <x:v>COMERCIAL</x:v>
      </x:c>
      <x:c r="D198" s="39" t="str">
        <x:v>Recurrente</x:v>
      </x:c>
      <x:c r="E198" s="39" t="str">
        <x:v>Seguro</x:v>
      </x:c>
      <x:c r="F198" s="39" t="str">
        <x:v>Evaluación</x:v>
      </x:c>
      <x:c r="G198" s="40" t="n">
        <x:v>-4.558521</x:v>
      </x:c>
      <x:c r="H198" s="40" t="n">
        <x:v>-81.238497</x:v>
      </x:c>
      <x:c r="I198" s="39" t="str">
        <x:v>Pariñas</x:v>
      </x:c>
      <x:c r="J198" s="39" t="str">
        <x:v>Talara</x:v>
      </x:c>
      <x:c r="K198" s="39" t="str">
        <x:v>AG05</x:v>
      </x:c>
      <x:c r="L198" s="39" t="str">
        <x:v>Mibanco Talara</x:v>
      </x:c>
      <x:c r="M198" s="41" t="n">
        <x:v>4.35</x:v>
      </x:c>
      <x:c r="N198" s="42" t="n">
        <x:v>46292</x:v>
      </x:c>
      <x:c r="O198" s="43" t="n">
        <x:v>0.375</x:v>
      </x:c>
      <x:c r="P198" s="43" t="n">
        <x:v>0.4375</x:v>
      </x:c>
      <x:c r="Q198" s="39" t="n">
        <x:v>60</x:v>
      </x:c>
      <x:c r="R198" s="44" t="n">
        <x:v>5300</x:v>
      </x:c>
      <x:c r="S198" s="39" t="str">
        <x:v>Alto</x:v>
      </x:c>
      <x:c r="T198" s="45" t="n">
        <x:v>0.87</x:v>
      </x:c>
      <x:c r="U198" s="39" t="n">
        <x:v>0</x:v>
      </x:c>
      <x:c r="V198" s="44" t="n">
        <x:v>0</x:v>
      </x:c>
      <x:c r="W198" s="39" t="str">
        <x:v>No</x:v>
      </x:c>
      <x:c r="X198" s="42"/>
      <x:c r="Y198" s="39" t="str">
        <x:v>No aplica</x:v>
      </x:c>
      <x:c r="Z198" s="39" t="n">
        <x:v>0</x:v>
      </x:c>
      <x:c r="AA198" s="39" t="str">
        <x:v>Respondió</x:v>
      </x:c>
      <x:c r="AB198" s="39" t="str">
        <x:v>No</x:v>
      </x:c>
      <x:c r="AC198" s="39" t="str">
        <x:v>No</x:v>
      </x:c>
      <x:c r="AD198" s="46" t="n">
        <x:f>IF(C198="COMERCIAL",IF(AC198="Sí",40,0)+IF(D198="Recurrente",15,0)+IF(S198="Alto",25,IF(S198="Medio",12,0))+IF(R198&gt;=30000,20,IF(R198&gt;=10000,12,IF(R198&gt;=5000,6,0)))+IF(N198&lt;=Metadatos!$B$13+1,25,0)+IF(AB198="Sí",15,0)+IF(AA198="No responde",-10,0),IF(Y198="Incumplido",40,0)+IF(AND(W198="Sí",X198=Metadatos!$B$13),35,0)+IF(V198&gt;=20000,25,IF(V198&gt;=10000,18,IF(V198&gt;=5000,10,0)))+IF(U198&gt;=15,25,IF(U198&gt;=6,20,IF(U198&gt;=3,10,0)))+IF(Z198&gt;=3,20,IF(Z198&gt;=2,10,0))+IF(AA198="Respondió",-10,0)+IF(AND(Y198="Vigente",X198&gt;Metadatos!$B$13),-10,0))</x:f>
        <x:v>71</x:v>
      </x:c>
      <x:c r="AE198" s="39" t="str">
        <x:f>IF(AD198&gt;=70,"P1",IF(AD198&gt;=50,"P2",IF(AD198&gt;=30,"P3","P4")))</x:f>
        <x:v>P1</x:v>
      </x:c>
      <x:c r="AF198" s="39" t="str">
        <x:v>Cliente recurrente con oportunidad activa</x:v>
      </x:c>
      <x:c r="AG198" s="39" t="str">
        <x:v>Pendiente</x:v>
      </x:c>
      <x:c r="AH198" s="39" t="str">
        <x:v>https://www.google.com/maps?q=-4.558521,-81.238497</x:v>
      </x:c>
      <x:c r="AI198" s="39" t="str">
        <x:v>SINTÉTICO</x:v>
      </x:c>
    </x:row>
    <x:row r="199">
      <x:c r="A199" s="39" t="str">
        <x:v>CLI-198</x:v>
      </x:c>
      <x:c r="B199" s="39" t="str">
        <x:v>Cliente 198</x:v>
      </x:c>
      <x:c r="C199" s="39" t="str">
        <x:v>COBRANZA</x:v>
      </x:c>
      <x:c r="D199" s="39" t="str">
        <x:v>Deudor</x:v>
      </x:c>
      <x:c r="E199" s="39" t="str">
        <x:v>Cobranza de crédito</x:v>
      </x:c>
      <x:c r="F199" s="39" t="str">
        <x:v>Recuperación</x:v>
      </x:c>
      <x:c r="G199" s="40" t="n">
        <x:v>-4.555042</x:v>
      </x:c>
      <x:c r="H199" s="40" t="n">
        <x:v>-81.254119</x:v>
      </x:c>
      <x:c r="I199" s="39" t="str">
        <x:v>Pariñas</x:v>
      </x:c>
      <x:c r="J199" s="39" t="str">
        <x:v>Talara</x:v>
      </x:c>
      <x:c r="K199" s="39" t="str">
        <x:v>AG05</x:v>
      </x:c>
      <x:c r="L199" s="39" t="str">
        <x:v>Mibanco Talara</x:v>
      </x:c>
      <x:c r="M199" s="41" t="n">
        <x:v>3.36</x:v>
      </x:c>
      <x:c r="N199" s="42" t="n">
        <x:v>46291</x:v>
      </x:c>
      <x:c r="O199" s="43" t="n">
        <x:v>0.4166666666666667</x:v>
      </x:c>
      <x:c r="P199" s="43" t="n">
        <x:v>0.5</x:v>
      </x:c>
      <x:c r="Q199" s="39" t="n">
        <x:v>60</x:v>
      </x:c>
      <x:c r="R199" s="44" t="n">
        <x:v>0</x:v>
      </x:c>
      <x:c r="S199" s="39" t="str">
        <x:v>No aplica</x:v>
      </x:c>
      <x:c r="T199" s="45" t="n">
        <x:v>0</x:v>
      </x:c>
      <x:c r="U199" s="39" t="n">
        <x:v>1</x:v>
      </x:c>
      <x:c r="V199" s="44" t="n">
        <x:v>6800</x:v>
      </x:c>
      <x:c r="W199" s="39" t="str">
        <x:v>Sí</x:v>
      </x:c>
      <x:c r="X199" s="42" t="n">
        <x:v>46290</x:v>
      </x:c>
      <x:c r="Y199" s="39" t="str">
        <x:v>Incumplido</x:v>
      </x:c>
      <x:c r="Z199" s="39" t="n">
        <x:v>1</x:v>
      </x:c>
      <x:c r="AA199" s="39" t="str">
        <x:v>Respondió</x:v>
      </x:c>
      <x:c r="AB199" s="39" t="str">
        <x:v>No</x:v>
      </x:c>
      <x:c r="AC199" s="39" t="str">
        <x:v>No</x:v>
      </x:c>
      <x:c r="AD199" s="46" t="n">
        <x:f>IF(C199="COMERCIAL",IF(AC199="Sí",40,0)+IF(D199="Recurrente",15,0)+IF(S199="Alto",25,IF(S199="Medio",12,0))+IF(R199&gt;=30000,20,IF(R199&gt;=10000,12,IF(R199&gt;=5000,6,0)))+IF(N199&lt;=Metadatos!$B$13+1,25,0)+IF(AB199="Sí",15,0)+IF(AA199="No responde",-10,0),IF(Y199="Incumplido",40,0)+IF(AND(W199="Sí",X199=Metadatos!$B$13),35,0)+IF(V199&gt;=20000,25,IF(V199&gt;=10000,18,IF(V199&gt;=5000,10,0)))+IF(U199&gt;=15,25,IF(U199&gt;=6,20,IF(U199&gt;=3,10,0)))+IF(Z199&gt;=3,20,IF(Z199&gt;=2,10,0))+IF(AA199="Respondió",-10,0)+IF(AND(Y199="Vigente",X199&gt;Metadatos!$B$13),-10,0))</x:f>
        <x:v>40</x:v>
      </x:c>
      <x:c r="AE199" s="39" t="str">
        <x:f>IF(AD199&gt;=70,"P1",IF(AD199&gt;=50,"P2",IF(AD199&gt;=30,"P3","P4")))</x:f>
        <x:v>P3</x:v>
      </x:c>
      <x:c r="AF199" s="39" t="str">
        <x:v>Compromiso de pago incumplido</x:v>
      </x:c>
      <x:c r="AG199" s="39" t="str">
        <x:v>Pendiente</x:v>
      </x:c>
      <x:c r="AH199" s="39" t="str">
        <x:v>https://www.google.com/maps?q=-4.555042,-81.254119</x:v>
      </x:c>
      <x:c r="AI199" s="39" t="str">
        <x:v>SINTÉTICO</x:v>
      </x:c>
    </x:row>
    <x:row r="200">
      <x:c r="A200" s="39" t="str">
        <x:v>CLI-199</x:v>
      </x:c>
      <x:c r="B200" s="39" t="str">
        <x:v>Cliente 199</x:v>
      </x:c>
      <x:c r="C200" s="39" t="str">
        <x:v>COMERCIAL</x:v>
      </x:c>
      <x:c r="D200" s="39" t="str">
        <x:v>Recurrente</x:v>
      </x:c>
      <x:c r="E200" s="39" t="str">
        <x:v>Seguro</x:v>
      </x:c>
      <x:c r="F200" s="39" t="str">
        <x:v>Contactado</x:v>
      </x:c>
      <x:c r="G200" s="40" t="n">
        <x:v>-4.578048</x:v>
      </x:c>
      <x:c r="H200" s="40" t="n">
        <x:v>-81.239384</x:v>
      </x:c>
      <x:c r="I200" s="39" t="str">
        <x:v>Pariñas</x:v>
      </x:c>
      <x:c r="J200" s="39" t="str">
        <x:v>Talara</x:v>
      </x:c>
      <x:c r="K200" s="39" t="str">
        <x:v>AG05</x:v>
      </x:c>
      <x:c r="L200" s="39" t="str">
        <x:v>Mibanco Talara</x:v>
      </x:c>
      <x:c r="M200" s="41" t="n">
        <x:v>3.56</x:v>
      </x:c>
      <x:c r="N200" s="42" t="n">
        <x:v>46294</x:v>
      </x:c>
      <x:c r="O200" s="43" t="n">
        <x:v>0.3333333333333333</x:v>
      </x:c>
      <x:c r="P200" s="43" t="n">
        <x:v>0.3958333333333333</x:v>
      </x:c>
      <x:c r="Q200" s="39" t="n">
        <x:v>50</x:v>
      </x:c>
      <x:c r="R200" s="44" t="n">
        <x:v>37600</x:v>
      </x:c>
      <x:c r="S200" s="39" t="str">
        <x:v>Medio</x:v>
      </x:c>
      <x:c r="T200" s="45" t="n">
        <x:v>0.61</x:v>
      </x:c>
      <x:c r="U200" s="39" t="n">
        <x:v>0</x:v>
      </x:c>
      <x:c r="V200" s="44" t="n">
        <x:v>0</x:v>
      </x:c>
      <x:c r="W200" s="39" t="str">
        <x:v>No</x:v>
      </x:c>
      <x:c r="X200" s="42"/>
      <x:c r="Y200" s="39" t="str">
        <x:v>No aplica</x:v>
      </x:c>
      <x:c r="Z200" s="39" t="n">
        <x:v>0</x:v>
      </x:c>
      <x:c r="AA200" s="39" t="str">
        <x:v>Respondió</x:v>
      </x:c>
      <x:c r="AB200" s="39" t="str">
        <x:v>No</x:v>
      </x:c>
      <x:c r="AC200" s="39" t="str">
        <x:v>No</x:v>
      </x:c>
      <x:c r="AD200" s="46" t="n">
        <x:f>IF(C200="COMERCIAL",IF(AC200="Sí",40,0)+IF(D200="Recurrente",15,0)+IF(S200="Alto",25,IF(S200="Medio",12,0))+IF(R200&gt;=30000,20,IF(R200&gt;=10000,12,IF(R200&gt;=5000,6,0)))+IF(N200&lt;=Metadatos!$B$13+1,25,0)+IF(AB200="Sí",15,0)+IF(AA200="No responde",-10,0),IF(Y200="Incumplido",40,0)+IF(AND(W200="Sí",X200=Metadatos!$B$13),35,0)+IF(V200&gt;=20000,25,IF(V200&gt;=10000,18,IF(V200&gt;=5000,10,0)))+IF(U200&gt;=15,25,IF(U200&gt;=6,20,IF(U200&gt;=3,10,0)))+IF(Z200&gt;=3,20,IF(Z200&gt;=2,10,0))+IF(AA200="Respondió",-10,0)+IF(AND(Y200="Vigente",X200&gt;Metadatos!$B$13),-10,0))</x:f>
        <x:v>47</x:v>
      </x:c>
      <x:c r="AE200" s="39" t="str">
        <x:f>IF(AD200&gt;=70,"P1",IF(AD200&gt;=50,"P2",IF(AD200&gt;=30,"P3","P4")))</x:f>
        <x:v>P3</x:v>
      </x:c>
      <x:c r="AF200" s="39" t="str">
        <x:v>Cliente recurrente con oportunidad activa</x:v>
      </x:c>
      <x:c r="AG200" s="39" t="str">
        <x:v>Pendiente</x:v>
      </x:c>
      <x:c r="AH200" s="39" t="str">
        <x:v>https://www.google.com/maps?q=-4.578048,-81.239384</x:v>
      </x:c>
      <x:c r="AI200" s="39" t="str">
        <x:v>SINTÉTICO</x:v>
      </x:c>
    </x:row>
    <x:row r="201">
      <x:c r="A201" s="39" t="str">
        <x:v>CLI-200</x:v>
      </x:c>
      <x:c r="B201" s="39" t="str">
        <x:v>Cliente 200</x:v>
      </x:c>
      <x:c r="C201" s="39" t="str">
        <x:v>COBRANZA</x:v>
      </x:c>
      <x:c r="D201" s="39" t="str">
        <x:v>Deudor</x:v>
      </x:c>
      <x:c r="E201" s="39" t="str">
        <x:v>Cobranza de crédito</x:v>
      </x:c>
      <x:c r="F201" s="39" t="str">
        <x:v>Recuperación</x:v>
      </x:c>
      <x:c r="G201" s="40" t="n">
        <x:v>-4.557223</x:v>
      </x:c>
      <x:c r="H201" s="40" t="n">
        <x:v>-81.259151</x:v>
      </x:c>
      <x:c r="I201" s="39" t="str">
        <x:v>Pariñas</x:v>
      </x:c>
      <x:c r="J201" s="39" t="str">
        <x:v>Talara</x:v>
      </x:c>
      <x:c r="K201" s="39" t="str">
        <x:v>AG05</x:v>
      </x:c>
      <x:c r="L201" s="39" t="str">
        <x:v>Mibanco Talara</x:v>
      </x:c>
      <x:c r="M201" s="41" t="n">
        <x:v>2.86</x:v>
      </x:c>
      <x:c r="N201" s="42" t="n">
        <x:v>46291</x:v>
      </x:c>
      <x:c r="O201" s="43" t="n">
        <x:v>0.3958333333333333</x:v>
      </x:c>
      <x:c r="P201" s="43" t="n">
        <x:v>0.4583333333333333</x:v>
      </x:c>
      <x:c r="Q201" s="39" t="n">
        <x:v>40</x:v>
      </x:c>
      <x:c r="R201" s="44" t="n">
        <x:v>0</x:v>
      </x:c>
      <x:c r="S201" s="39" t="str">
        <x:v>No aplica</x:v>
      </x:c>
      <x:c r="T201" s="45" t="n">
        <x:v>0</x:v>
      </x:c>
      <x:c r="U201" s="39" t="n">
        <x:v>22</x:v>
      </x:c>
      <x:c r="V201" s="44" t="n">
        <x:v>20400</x:v>
      </x:c>
      <x:c r="W201" s="39" t="str">
        <x:v>No</x:v>
      </x:c>
      <x:c r="X201" s="42"/>
      <x:c r="Y201" s="39" t="str">
        <x:v>Sin compromiso</x:v>
      </x:c>
      <x:c r="Z201" s="39" t="n">
        <x:v>1</x:v>
      </x:c>
      <x:c r="AA201" s="39" t="str">
        <x:v>Respondió</x:v>
      </x:c>
      <x:c r="AB201" s="39" t="str">
        <x:v>No</x:v>
      </x:c>
      <x:c r="AC201" s="39" t="str">
        <x:v>No</x:v>
      </x:c>
      <x:c r="AD201" s="46" t="n">
        <x:f>IF(C201="COMERCIAL",IF(AC201="Sí",40,0)+IF(D201="Recurrente",15,0)+IF(S201="Alto",25,IF(S201="Medio",12,0))+IF(R201&gt;=30000,20,IF(R201&gt;=10000,12,IF(R201&gt;=5000,6,0)))+IF(N201&lt;=Metadatos!$B$13+1,25,0)+IF(AB201="Sí",15,0)+IF(AA201="No responde",-10,0),IF(Y201="Incumplido",40,0)+IF(AND(W201="Sí",X201=Metadatos!$B$13),35,0)+IF(V201&gt;=20000,25,IF(V201&gt;=10000,18,IF(V201&gt;=5000,10,0)))+IF(U201&gt;=15,25,IF(U201&gt;=6,20,IF(U201&gt;=3,10,0)))+IF(Z201&gt;=3,20,IF(Z201&gt;=2,10,0))+IF(AA201="Respondió",-10,0)+IF(AND(Y201="Vigente",X201&gt;Metadatos!$B$13),-10,0))</x:f>
        <x:v>40</x:v>
      </x:c>
      <x:c r="AE201" s="39" t="str">
        <x:f>IF(AD201&gt;=70,"P1",IF(AD201&gt;=50,"P2",IF(AD201&gt;=30,"P3","P4")))</x:f>
        <x:v>P3</x:v>
      </x:c>
      <x:c r="AF201" s="39" t="str">
        <x:v>Mora elevada y saldo alto</x:v>
      </x:c>
      <x:c r="AG201" s="39" t="str">
        <x:v>Pendiente</x:v>
      </x:c>
      <x:c r="AH201" s="39" t="str">
        <x:v>https://www.google.com/maps?q=-4.557223,-81.259151</x:v>
      </x:c>
      <x:c r="AI201" s="39" t="str">
        <x:v>SINTÉTICO</x:v>
      </x:c>
    </x:row>
  </x:sheetData>
  <x:conditionalFormatting sqref="AE2:AE201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  <x:cfRule type="containsText" dxfId="3" priority="4" operator="containsText" text="P4"/>
  </x:conditionalFormatting>
  <x:dataValidations count="1">
    <x:dataValidation type="list" sqref="C2:C201">
      <x:formula1>"COMERCIAL,COBRANZA"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173975a1554a3b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75" hidden="0" customWidth="1"/>
    <x:col min="2" max="2" width="25" hidden="0" customWidth="1"/>
    <x:col min="3" max="3" width="42" hidden="0" customWidth="1"/>
    <x:col min="4" max="4" width="8.880000114440918" hidden="0" customWidth="1"/>
    <x:col min="5" max="5" width="10.630000114440918" hidden="0" customWidth="1"/>
    <x:col min="6" max="6" width="8.630000114440918" hidden="0" customWidth="1"/>
    <x:col min="7" max="7" width="10.25" hidden="0" customWidth="1"/>
    <x:col min="8" max="8" width="18.75" hidden="0" customWidth="1"/>
    <x:col min="9" max="9" width="18.25" hidden="0" customWidth="1"/>
    <x:col min="10" max="10" width="17.75" hidden="0" customWidth="1"/>
    <x:col min="11" max="11" width="18.25" hidden="0" customWidth="1"/>
    <x:col min="12" max="12" width="19" hidden="0" customWidth="1"/>
  </x:cols>
  <x:sheetData>
    <x:row r="1" ht="30" customHeight="1">
      <x:c r="A1" s="51" t="str">
        <x:v>Codigo</x:v>
      </x:c>
      <x:c r="B1" s="51" t="str">
        <x:v>Agencia</x:v>
      </x:c>
      <x:c r="C1" s="51" t="str">
        <x:v>Direccion_referencial</x:v>
      </x:c>
      <x:c r="D1" s="51" t="str">
        <x:v>Distrito</x:v>
      </x:c>
      <x:c r="E1" s="51" t="str">
        <x:v>Provincia</x:v>
      </x:c>
      <x:c r="F1" s="51" t="str">
        <x:v>Latitud</x:v>
      </x:c>
      <x:c r="G1" s="51" t="str">
        <x:v>Longitud</x:v>
      </x:c>
      <x:c r="H1" s="51" t="str">
        <x:v>Clientes_simulados</x:v>
      </x:c>
      <x:c r="I1" s="51" t="str">
        <x:v>Clientes_comercial</x:v>
      </x:c>
      <x:c r="J1" s="51" t="str">
        <x:v>Clientes_cobranza</x:v>
      </x:c>
      <x:c r="K1" s="51" t="str">
        <x:v>Radio_maximo_km</x:v>
      </x:c>
      <x:c r="L1" s="51" t="str">
        <x:v>Estado_coordenada</x:v>
      </x:c>
    </x:row>
    <x:row r="2">
      <x:c r="A2" s="1" t="str">
        <x:v>AG01</x:v>
      </x:c>
      <x:c r="B2" s="1" t="str">
        <x:v>Mibanco Piura Centro</x:v>
      </x:c>
      <x:c r="C2" s="1" t="str">
        <x:v>Calle Libertad 602, Piura</x:v>
      </x:c>
      <x:c r="D2" s="1" t="str">
        <x:v>Piura</x:v>
      </x:c>
      <x:c r="E2" s="1" t="str">
        <x:v>Piura</x:v>
      </x:c>
      <x:c r="F2" s="7" t="n">
        <x:v>-5.19463</x:v>
      </x:c>
      <x:c r="G2" s="7" t="n">
        <x:v>-80.63282</x:v>
      </x:c>
      <x:c r="H2" s="1" t="n">
        <x:v>40</x:v>
      </x:c>
      <x:c r="I2" s="1" t="n">
        <x:v>20</x:v>
      </x:c>
      <x:c r="J2" s="1" t="n">
        <x:v>20</x:v>
      </x:c>
      <x:c r="K2" s="1" t="n">
        <x:v>3.2</x:v>
      </x:c>
      <x:c r="L2" s="1" t="str">
        <x:v>REFERENCIAL</x:v>
      </x:c>
    </x:row>
    <x:row r="3">
      <x:c r="A3" s="1" t="str">
        <x:v>AG02</x:v>
      </x:c>
      <x:c r="B3" s="1" t="str">
        <x:v>Mibanco Sánchez Cerro</x:v>
      </x:c>
      <x:c r="C3" s="1" t="str">
        <x:v>Av. Sánchez Cerro 1279, Piura</x:v>
      </x:c>
      <x:c r="D3" s="1" t="str">
        <x:v>Piura</x:v>
      </x:c>
      <x:c r="E3" s="1" t="str">
        <x:v>Piura</x:v>
      </x:c>
      <x:c r="F3" s="7" t="n">
        <x:v>-5.19094</x:v>
      </x:c>
      <x:c r="G3" s="7" t="n">
        <x:v>-80.63108</x:v>
      </x:c>
      <x:c r="H3" s="1" t="n">
        <x:v>40</x:v>
      </x:c>
      <x:c r="I3" s="1" t="n">
        <x:v>20</x:v>
      </x:c>
      <x:c r="J3" s="1" t="n">
        <x:v>20</x:v>
      </x:c>
      <x:c r="K3" s="1" t="n">
        <x:v>4</x:v>
      </x:c>
      <x:c r="L3" s="1" t="str">
        <x:v>REFERENCIAL</x:v>
      </x:c>
    </x:row>
    <x:row r="4">
      <x:c r="A4" s="1" t="str">
        <x:v>AG03</x:v>
      </x:c>
      <x:c r="B4" s="1" t="str">
        <x:v>Mibanco Castilla</x:v>
      </x:c>
      <x:c r="C4" s="1" t="str">
        <x:v>Esq. Av. Guardia Civil y calle Las Dalias, Castilla</x:v>
      </x:c>
      <x:c r="D4" s="1" t="str">
        <x:v>Castilla</x:v>
      </x:c>
      <x:c r="E4" s="1" t="str">
        <x:v>Piura</x:v>
      </x:c>
      <x:c r="F4" s="7" t="n">
        <x:v>-5.19402</x:v>
      </x:c>
      <x:c r="G4" s="7" t="n">
        <x:v>-80.62121</x:v>
      </x:c>
      <x:c r="H4" s="1" t="n">
        <x:v>40</x:v>
      </x:c>
      <x:c r="I4" s="1" t="n">
        <x:v>20</x:v>
      </x:c>
      <x:c r="J4" s="1" t="n">
        <x:v>20</x:v>
      </x:c>
      <x:c r="K4" s="1" t="n">
        <x:v>4.2</x:v>
      </x:c>
      <x:c r="L4" s="1" t="str">
        <x:v>REFERENCIAL</x:v>
      </x:c>
    </x:row>
    <x:row r="5">
      <x:c r="A5" s="1" t="str">
        <x:v>AG04</x:v>
      </x:c>
      <x:c r="B5" s="1" t="str">
        <x:v>Mibanco Sullana</x:v>
      </x:c>
      <x:c r="C5" s="1" t="str">
        <x:v>Av. San Martín 821-823, Sullana</x:v>
      </x:c>
      <x:c r="D5" s="1" t="str">
        <x:v>Sullana</x:v>
      </x:c>
      <x:c r="E5" s="1" t="str">
        <x:v>Sullana</x:v>
      </x:c>
      <x:c r="F5" s="7" t="n">
        <x:v>-4.89162</x:v>
      </x:c>
      <x:c r="G5" s="7" t="n">
        <x:v>-80.68842</x:v>
      </x:c>
      <x:c r="H5" s="1" t="n">
        <x:v>50</x:v>
      </x:c>
      <x:c r="I5" s="1" t="n">
        <x:v>25</x:v>
      </x:c>
      <x:c r="J5" s="1" t="n">
        <x:v>25</x:v>
      </x:c>
      <x:c r="K5" s="1" t="n">
        <x:v>5</x:v>
      </x:c>
      <x:c r="L5" s="1" t="str">
        <x:v>REFERENCIAL</x:v>
      </x:c>
    </x:row>
    <x:row r="6">
      <x:c r="A6" s="1" t="str">
        <x:v>AG05</x:v>
      </x:c>
      <x:c r="B6" s="1" t="str">
        <x:v>Mibanco Talara</x:v>
      </x:c>
      <x:c r="C6" s="1" t="str">
        <x:v>Centro Cívico, Talara</x:v>
      </x:c>
      <x:c r="D6" s="1" t="str">
        <x:v>Pariñas</x:v>
      </x:c>
      <x:c r="E6" s="1" t="str">
        <x:v>Talara</x:v>
      </x:c>
      <x:c r="F6" s="7" t="n">
        <x:v>-4.57976</x:v>
      </x:c>
      <x:c r="G6" s="7" t="n">
        <x:v>-81.27144</x:v>
      </x:c>
      <x:c r="H6" s="1" t="n">
        <x:v>30</x:v>
      </x:c>
      <x:c r="I6" s="1" t="n">
        <x:v>15</x:v>
      </x:c>
      <x:c r="J6" s="1" t="n">
        <x:v>15</x:v>
      </x:c>
      <x:c r="K6" s="1" t="n">
        <x:v>4.5</x:v>
      </x:c>
      <x:c r="L6" s="1" t="str">
        <x:v>REFERENCIAL</x:v>
      </x:c>
    </x:row>
  </x:sheetData>
  <x:pageMargins left="0.7" right="0.7" top="0.75" bottom="0.75" header="0.3" footer="0.3"/>
  <x:tableParts count="1">
    <x:tablePart xmlns:r="http://schemas.openxmlformats.org/officeDocument/2006/relationships" r:id="R181c1d8b614e4faf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7.6299991607666" hidden="0" customWidth="1"/>
    <x:col min="2" max="2" width="82" hidden="0" customWidth="1"/>
    <x:col min="4" max="4" width="8.130000114440918" hidden="0" customWidth="1"/>
    <x:col min="5" max="5" width="42" hidden="0" customWidth="1"/>
    <x:col min="6" max="6" width="8.880000114440918" hidden="0" customWidth="1"/>
    <x:col min="7" max="7" width="32" hidden="0" customWidth="1"/>
  </x:cols>
  <x:sheetData>
    <x:row r="1" ht="15" hidden="0" customHeight="1">
      <x:c r="A1" s="1" t="str">
        <x:v>Elemento</x:v>
      </x:c>
      <x:c r="B1" s="1" t="str">
        <x:v>Descripcion</x:v>
      </x:c>
      <x:c r="C1" s="1"/>
      <x:c r="D1" s="1" t="str">
        <x:v>Área</x:v>
      </x:c>
      <x:c r="E1" s="1" t="str">
        <x:v>Condición</x:v>
      </x:c>
      <x:c r="F1" s="1" t="str">
        <x:v>Puntos</x:v>
      </x:c>
      <x:c r="G1" s="1" t="str">
        <x:v>Observación</x:v>
      </x:c>
    </x:row>
    <x:row r="2" ht="15" hidden="0" customHeight="1">
      <x:c r="A2" s="1" t="str">
        <x:v>Propósito</x:v>
      </x:c>
      <x:c r="B2" s="1" t="str">
        <x:v>Base sintética para priorizar y planificar visitas comerciales y de cobranza mediante clustering y VRPTW.</x:v>
      </x:c>
      <x:c r="C2" s="1"/>
      <x:c r="D2" s="1" t="str">
        <x:v>Comercial</x:v>
      </x:c>
      <x:c r="E2" s="1" t="str">
        <x:v>Operación o pago previsto hoy</x:v>
      </x:c>
      <x:c r="F2" s="1" t="n">
        <x:v>40</x:v>
      </x:c>
      <x:c r="G2" s="1" t="str">
        <x:v>Urgencia inmediata</x:v>
      </x:c>
    </x:row>
    <x:row r="3" ht="15" hidden="0" customHeight="1">
      <x:c r="A3" s="1" t="str">
        <x:v>Cantidad</x:v>
      </x:c>
      <x:c r="B3" s="1" t="n">
        <x:v>200</x:v>
      </x:c>
      <x:c r="C3" s="1"/>
      <x:c r="D3" s="1" t="str">
        <x:v>Comercial</x:v>
      </x:c>
      <x:c r="E3" s="1" t="str">
        <x:v>Cliente recurrente</x:v>
      </x:c>
      <x:c r="F3" s="1" t="n">
        <x:v>15</x:v>
      </x:c>
      <x:c r="G3" s="1" t="str">
        <x:v>Relación previa</x:v>
      </x:c>
    </x:row>
    <x:row r="4" ht="15" hidden="0" customHeight="1">
      <x:c r="A4" s="1" t="str">
        <x:v>Distribución de gestión</x:v>
      </x:c>
      <x:c r="B4" s="1" t="str">
        <x:v>100 registros comerciales y 100 registros de cobranza.</x:v>
      </x:c>
      <x:c r="C4" s="1"/>
      <x:c r="D4" s="1" t="str">
        <x:v>Comercial</x:v>
      </x:c>
      <x:c r="E4" s="1" t="str">
        <x:v>Interés alto / medio</x:v>
      </x:c>
      <x:c r="F4" s="1" t="str">
        <x:v>25 / 12</x:v>
      </x:c>
      <x:c r="G4" s="1" t="str">
        <x:v>Probabilidad comercial</x:v>
      </x:c>
    </x:row>
    <x:row r="5" ht="15" hidden="0" customHeight="1">
      <x:c r="A5" s="1" t="str">
        <x:v>Semilla aleatoria</x:v>
      </x:c>
      <x:c r="B5" s="1" t="n">
        <x:v>20260926</x:v>
      </x:c>
      <x:c r="C5" s="1"/>
      <x:c r="D5" s="1" t="str">
        <x:v>Comercial</x:v>
      </x:c>
      <x:c r="E5" s="1" t="str">
        <x:v>Monto &gt;= 30 mil / 10 mil / 5 mil</x:v>
      </x:c>
      <x:c r="F5" s="1" t="str">
        <x:v>20 / 12 / 6</x:v>
      </x:c>
      <x:c r="G5" s="1" t="str">
        <x:v>Valor estimado</x:v>
      </x:c>
    </x:row>
    <x:row r="6" ht="15" hidden="0" customHeight="1">
      <x:c r="A6" s="1" t="str">
        <x:v>Método espacial</x:v>
      </x:c>
      <x:c r="B6" s="1" t="str">
        <x:v>Se conservaron los puntos sintéticos distribuidos alrededor de cinco agencias referenciales.</x:v>
      </x:c>
      <x:c r="C6" s="1"/>
      <x:c r="D6" s="1" t="str">
        <x:v>Comercial</x:v>
      </x:c>
      <x:c r="E6" s="1" t="str">
        <x:v>Gestión hoy o mañana</x:v>
      </x:c>
      <x:c r="F6" s="1" t="n">
        <x:v>25</x:v>
      </x:c>
      <x:c r="G6" s="1" t="str">
        <x:v>Fecha próxima</x:v>
      </x:c>
    </x:row>
    <x:row r="7" ht="15" hidden="0" customHeight="1">
      <x:c r="A7" s="1" t="str">
        <x:v>Cálculo de prioridad</x:v>
      </x:c>
      <x:c r="B7" s="1" t="str">
        <x:v>El puntaje se calcula automáticamente en la hoja Clientes según reglas comerciales y de cobranza.</x:v>
      </x:c>
      <x:c r="C7" s="1"/>
      <x:c r="D7" s="1" t="str">
        <x:v>Comercial</x:v>
      </x:c>
      <x:c r="E7" s="1" t="str">
        <x:v>Visita confirmada</x:v>
      </x:c>
      <x:c r="F7" s="1" t="n">
        <x:v>15</x:v>
      </x:c>
      <x:c r="G7" s="1" t="str">
        <x:v>Disponibilidad validada</x:v>
      </x:c>
    </x:row>
    <x:row r="8" ht="24" hidden="0" customHeight="1">
      <x:c r="A8" s="1" t="str">
        <x:v>Rangos</x:v>
      </x:c>
      <x:c r="B8" s="1" t="str">
        <x:v>P1: 70 o más; P2: 50–69; P3: 30–49; P4: menos de 30 puntos.</x:v>
      </x:c>
      <x:c r="C8" s="1"/>
      <x:c r="D8" s="1" t="str">
        <x:v>Comercial</x:v>
      </x:c>
      <x:c r="E8" s="1" t="str">
        <x:v>No responde</x:v>
      </x:c>
      <x:c r="F8" s="1" t="n">
        <x:v>-10</x:v>
      </x:c>
      <x:c r="G8" s="1" t="str">
        <x:v>Reduce viabilidad inmediata</x:v>
      </x:c>
    </x:row>
    <x:row r="9" ht="15" hidden="0" customHeight="1">
      <x:c r="A9" s="1" t="str">
        <x:v>Privacidad</x:v>
      </x:c>
      <x:c r="B9" s="1" t="str">
        <x:v>No contiene nombres ni domicilios reales. Todos los registros son identificadores y ubicaciones sintéticas.</x:v>
      </x:c>
      <x:c r="C9" s="1"/>
      <x:c r="D9" s="1" t="str">
        <x:v>Cobranza</x:v>
      </x:c>
      <x:c r="E9" s="1" t="str">
        <x:v>Compromiso incumplido</x:v>
      </x:c>
      <x:c r="F9" s="1" t="n">
        <x:v>40</x:v>
      </x:c>
      <x:c r="G9" s="1" t="str">
        <x:v>Incumplimiento crítico</x:v>
      </x:c>
    </x:row>
    <x:row r="10" ht="15" hidden="0" customHeight="1">
      <x:c r="A10" s="1" t="str">
        <x:v>Uso de rutas</x:v>
      </x:c>
      <x:c r="B10" s="1" t="str">
        <x:v>Las visitas P1 son obligatorias; P2 se insertan si respetan horarios; P3 y P4 cubren capacidad disponible.</x:v>
      </x:c>
      <x:c r="C10" s="1"/>
      <x:c r="D10" s="1" t="str">
        <x:v>Cobranza</x:v>
      </x:c>
      <x:c r="E10" s="1" t="str">
        <x:v>Compromiso vence hoy</x:v>
      </x:c>
      <x:c r="F10" s="1" t="n">
        <x:v>35</x:v>
      </x:c>
      <x:c r="G10" s="1" t="str">
        <x:v>Atención inmediata</x:v>
      </x:c>
    </x:row>
    <x:row r="11" ht="24" hidden="0" customHeight="1">
      <x:c r="A11" s="1" t="str">
        <x:v>Advertencia</x:v>
      </x:c>
      <x:c r="B11" s="1" t="str">
        <x:v>Las coordenadas de agencias son referenciales. Validar sedes, red vial y tiempos reales antes de uso operativo.</x:v>
      </x:c>
      <x:c r="C11" s="1"/>
      <x:c r="D11" s="1" t="str">
        <x:v>Cobranza</x:v>
      </x:c>
      <x:c r="E11" s="1" t="str">
        <x:v>Saldo &gt;= 20 mil / 10 mil / 5 mil</x:v>
      </x:c>
      <x:c r="F11" s="1" t="str">
        <x:v>25 / 18 / 10</x:v>
      </x:c>
      <x:c r="G11" s="1" t="str">
        <x:v>Exposición monetaria</x:v>
      </x:c>
    </x:row>
    <x:row r="12" ht="15" hidden="0" customHeight="1">
      <x:c r="A12" s="1" t="str">
        <x:v>Fuente institucional</x:v>
      </x:c>
      <x:c r="B12" s="1" t="str">
        <x:v>Mibanco, localizador de agencias: https://www.mibanco.com.pe/centro-de-ayuda/ubicanos</x:v>
      </x:c>
      <x:c r="C12" s="1"/>
      <x:c r="D12" s="1" t="str">
        <x:v>Cobranza</x:v>
      </x:c>
      <x:c r="E12" s="1" t="str">
        <x:v>Mora &gt;= 15 / 6 / 3 días</x:v>
      </x:c>
      <x:c r="F12" s="1" t="str">
        <x:v>25 / 20 / 10</x:v>
      </x:c>
      <x:c r="G12" s="1" t="str">
        <x:v>Antigüedad de mora</x:v>
      </x:c>
    </x:row>
    <x:row r="13">
      <x:c r="A13" s="1" t="str">
        <x:v>Fecha de corte</x:v>
      </x:c>
      <x:c r="B13" s="53" t="n">
        <x:v>46291</x:v>
      </x:c>
      <x:c r="C13" s="1"/>
      <x:c r="D13" s="1" t="str">
        <x:v>Cobranza</x:v>
      </x:c>
      <x:c r="E13" s="1" t="str">
        <x:v>Intentos sin respuesta &gt;= 3 / 2</x:v>
      </x:c>
      <x:c r="F13" s="1" t="str">
        <x:v>20 / 10</x:v>
      </x:c>
      <x:c r="G13" s="1" t="str">
        <x:v>Dificultad de contacto</x:v>
      </x:c>
    </x:row>
    <x:row r="14">
      <x:c r="A14" s="1" t="str">
        <x:v>Fecha de actualización</x:v>
      </x:c>
      <x:c r="B14" s="53" t="n">
        <x:v>46291</x:v>
      </x:c>
      <x:c r="C14" s="1"/>
      <x:c r="D14" s="1" t="str">
        <x:v>Cobranza</x:v>
      </x:c>
      <x:c r="E14" s="1" t="str">
        <x:v>Cliente respondió</x:v>
      </x:c>
      <x:c r="F14" s="1" t="n">
        <x:v>-10</x:v>
      </x:c>
      <x:c r="G14" s="1" t="str">
        <x:v>Existe canal activo</x:v>
      </x:c>
    </x:row>
    <x:row r="15">
      <x:c r="A15" s="1"/>
      <x:c r="B15" s="1"/>
      <x:c r="C15" s="1"/>
      <x:c r="D15" s="1" t="str">
        <x:v>Cobranza</x:v>
      </x:c>
      <x:c r="E15" s="1" t="str">
        <x:v>Compromiso vigente futuro</x:v>
      </x:c>
      <x:c r="F15" s="1" t="n">
        <x:v>-10</x:v>
      </x:c>
      <x:c r="G15" s="1" t="str">
        <x:v>Puede esperar hasta la fecha pactada</x:v>
      </x:c>
    </x:row>
  </x:sheetData>
  <x:pageMargins left="0.7" right="0.7" top="0.75" bottom="0.75" header="0.3" footer="0.3"/>
  <x:tableParts count="2">
    <x:tablePart xmlns:r="http://schemas.openxmlformats.org/officeDocument/2006/relationships" r:id="R11367bc592dd4e93"/>
    <x:tablePart xmlns:r="http://schemas.openxmlformats.org/officeDocument/2006/relationships" r:id="Ra1169012b8984eb5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2">
      <x:c r="A2" s="56" t="str">
        <x:v>Resumen de clientes por gestión y prioridad</x:v>
      </x:c>
      <x:c r="B2" s="56"/>
      <x:c r="C2" s="56"/>
      <x:c r="D2" s="56"/>
      <x:c r="E2" s="56"/>
      <x:c r="F2" s="56"/>
      <x:c r="G2" s="56"/>
      <x:c r="H2" s="56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/>
      <x:c r="B4"/>
      <x:c r="C4"/>
      <x:c r="D4"/>
    </x:row>
    <x:row r="5">
      <x:c r="A5" s="60" t="str">
        <x:v>Indicador</x:v>
      </x:c>
      <x:c r="B5" s="60" t="str">
        <x:v>Resultado</x:v>
      </x:c>
      <x:c r="C5"/>
      <x:c r="D5" s="60" t="str">
        <x:v>Prioridad</x:v>
      </x:c>
      <x:c r="E5" s="60" t="str">
        <x:v>Total</x:v>
      </x:c>
      <x:c r="F5" s="60" t="str">
        <x:v>Comercial</x:v>
      </x:c>
      <x:c r="G5" s="60" t="str">
        <x:v>Cobranza</x:v>
      </x:c>
    </x:row>
    <x:row r="6">
      <x:c r="A6" s="1" t="str">
        <x:v>Clientes totales</x:v>
      </x:c>
      <x:c r="B6" s="1" t="n">
        <x:f>COUNTA(Clientes!$A$2:$A$201)</x:f>
        <x:v>200</x:v>
      </x:c>
      <x:c r="C6"/>
      <x:c r="D6" s="1" t="str">
        <x:v>P1</x:v>
      </x:c>
      <x:c r="E6" s="1" t="n">
        <x:f>COUNTIF(Clientes!$AE$2:$AE$201,D6)</x:f>
        <x:v>54</x:v>
      </x:c>
      <x:c r="F6" s="1" t="n">
        <x:f>COUNTIFS(Clientes!$AE$2:$AE$201,D6,Clientes!$C$2:$C$201,"COMERCIAL")</x:f>
        <x:v>33</x:v>
      </x:c>
      <x:c r="G6" s="1" t="n">
        <x:f>COUNTIFS(Clientes!$AE$2:$AE$201,D6,Clientes!$C$2:$C$201,"COBRANZA")</x:f>
        <x:v>21</x:v>
      </x:c>
    </x:row>
    <x:row r="7">
      <x:c r="A7" s="1" t="str">
        <x:v>Comercial</x:v>
      </x:c>
      <x:c r="B7" s="1" t="n">
        <x:f>COUNTIF(Clientes!$C$2:$C$201,"COMERCIAL")</x:f>
        <x:v>100</x:v>
      </x:c>
      <x:c r="C7"/>
      <x:c r="D7" s="1" t="str">
        <x:v>P2</x:v>
      </x:c>
      <x:c r="E7" s="1" t="n">
        <x:f>COUNTIF(Clientes!$AE$2:$AE$201,D7)</x:f>
        <x:v>37</x:v>
      </x:c>
      <x:c r="F7" s="1" t="n">
        <x:f>COUNTIFS(Clientes!$AE$2:$AE$201,D7,Clientes!$C$2:$C$201,"COMERCIAL")</x:f>
        <x:v>13</x:v>
      </x:c>
      <x:c r="G7" s="1" t="n">
        <x:f>COUNTIFS(Clientes!$AE$2:$AE$201,D7,Clientes!$C$2:$C$201,"COBRANZA")</x:f>
        <x:v>24</x:v>
      </x:c>
    </x:row>
    <x:row r="8">
      <x:c r="A8" s="1" t="str">
        <x:v>Cobranza</x:v>
      </x:c>
      <x:c r="B8" s="1" t="n">
        <x:f>COUNTIF(Clientes!$C$2:$C$201,"COBRANZA")</x:f>
        <x:v>100</x:v>
      </x:c>
      <x:c r="C8"/>
      <x:c r="D8" s="1" t="str">
        <x:v>P3</x:v>
      </x:c>
      <x:c r="E8" s="1" t="n">
        <x:f>COUNTIF(Clientes!$AE$2:$AE$201,D8)</x:f>
        <x:v>47</x:v>
      </x:c>
      <x:c r="F8" s="1" t="n">
        <x:f>COUNTIFS(Clientes!$AE$2:$AE$201,D8,Clientes!$C$2:$C$201,"COMERCIAL")</x:f>
        <x:v>18</x:v>
      </x:c>
      <x:c r="G8" s="1" t="n">
        <x:f>COUNTIFS(Clientes!$AE$2:$AE$201,D8,Clientes!$C$2:$C$201,"COBRANZA")</x:f>
        <x:v>29</x:v>
      </x:c>
    </x:row>
    <x:row r="9">
      <x:c r="A9"/>
      <x:c r="B9"/>
      <x:c r="C9"/>
      <x:c r="D9" s="1" t="str">
        <x:v>P4</x:v>
      </x:c>
      <x:c r="E9" s="1" t="n">
        <x:f>COUNTIF(Clientes!$AE$2:$AE$201,D9)</x:f>
        <x:v>62</x:v>
      </x:c>
      <x:c r="F9" s="1" t="n">
        <x:f>COUNTIFS(Clientes!$AE$2:$AE$201,D9,Clientes!$C$2:$C$201,"COMERCIAL")</x:f>
        <x:v>36</x:v>
      </x:c>
      <x:c r="G9" s="1" t="n">
        <x:f>COUNTIFS(Clientes!$AE$2:$AE$201,D9,Clientes!$C$2:$C$201,"COBRANZA")</x:f>
        <x:v>26</x:v>
      </x:c>
    </x:row>
    <x:row r="10">
      <x:c r="A10"/>
      <x:c r="B10"/>
      <x:c r="C10"/>
      <x:c r="D10" s="61" t="str">
        <x:v>Total</x:v>
      </x:c>
      <x:c r="E10" s="61" t="n">
        <x:f>SUM(E6:E9)</x:f>
        <x:v>200</x:v>
      </x:c>
      <x:c r="F10" s="61" t="n">
        <x:f>SUM(F6:F9)</x:f>
        <x:v>100</x:v>
      </x:c>
      <x:c r="G10" s="61" t="n">
        <x:f>SUM(G6:G9)</x:f>
        <x:v>100</x:v>
      </x:c>
    </x:row>
    <x:row r="12" ht="24" customHeight="1">
      <x:c r="A12" s="59" t="str">
        <x:v>Uso propuesto en la automatización de rutas</x:v>
      </x:c>
      <x:c r="B12" s="59"/>
      <x:c r="C12" s="59"/>
      <x:c r="D12" s="59"/>
      <x:c r="E12" s="59"/>
      <x:c r="F12" s="59"/>
      <x:c r="G12" s="59"/>
      <x:c r="H12" s="59"/>
    </x:row>
    <x:row r="13" ht="24" customHeight="1">
      <x:c r="A13" s="61" t="str">
        <x:v>P1 — Visita obligatoria hoy; ubicar primero dentro de las ventanas horarias.</x:v>
      </x:c>
      <x:c r="B13" s="1"/>
      <x:c r="C13" s="1"/>
      <x:c r="D13" s="1"/>
      <x:c r="E13" s="1"/>
      <x:c r="F13" s="1"/>
      <x:c r="G13" s="1"/>
      <x:c r="H13" s="1"/>
    </x:row>
    <x:row r="14" ht="24" customHeight="1">
      <x:c r="A14" s="61" t="str">
        <x:v>P2 — Insertar hoy si no retrasa una P1; si no, programar para el día siguiente.</x:v>
      </x:c>
      <x:c r="B14" s="1"/>
      <x:c r="C14" s="1"/>
      <x:c r="D14" s="1"/>
      <x:c r="E14" s="1"/>
      <x:c r="F14" s="1"/>
      <x:c r="G14" s="1"/>
      <x:c r="H14" s="1"/>
    </x:row>
    <x:row r="15">
      <x:c r="A15" s="61" t="str">
        <x:v>P3 — Programar dentro de 2 o 3 días y aprovechar cercanía geográfica.</x:v>
      </x:c>
      <x:c r="B15" s="1"/>
      <x:c r="C15" s="1"/>
      <x:c r="D15" s="1"/>
      <x:c r="E15" s="1"/>
      <x:c r="F15" s="1"/>
      <x:c r="G15" s="1"/>
      <x:c r="H15" s="1"/>
    </x:row>
    <x:row r="16">
      <x:c r="A16" s="61" t="str">
        <x:v>P4 — Cubrir capacidad disponible o agrupar con visitas próximas.</x:v>
      </x:c>
      <x:c r="B16" s="1"/>
      <x:c r="C16" s="1"/>
      <x:c r="D16" s="1"/>
      <x:c r="E16" s="1"/>
      <x:c r="F16" s="1"/>
      <x:c r="G16" s="1"/>
      <x:c r="H16" s="1"/>
    </x:row>
  </x:sheetData>
  <x:mergeCells>
    <x:mergeCell ref="A2:H2"/>
    <x:mergeCell ref="A12:H12"/>
    <x:mergeCell ref="A13:H13"/>
    <x:mergeCell ref="A14:H14"/>
    <x:mergeCell ref="A15:H15"/>
    <x:mergeCell ref="A16:H16"/>
  </x:mergeCells>
  <x:conditionalFormatting sqref="D6:D9">
    <x:cfRule type="containsText" dxfId="4" priority="1" operator="containsText" text="P1"/>
    <x:cfRule type="containsText" dxfId="5" priority="2" operator="containsText" text="P2"/>
    <x:cfRule type="containsText" dxfId="6" priority="3" operator="containsText" text="P3"/>
    <x:cfRule type="containsText" dxfId="7" priority="4" operator="containsText" text="P4"/>
  </x:conditionalFormatting>
  <x:pageMargins left="0.7" right="0.7" top="0.75" bottom="0.75" header="0.3" footer="0.3"/>
</x:worksheet>
</file>